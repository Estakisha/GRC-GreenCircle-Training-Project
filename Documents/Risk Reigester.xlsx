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hidePivotFieldList="1" defaultThemeVersion="164011"/>
  <bookViews>
    <workbookView xWindow="0" yWindow="0" windowWidth="22260" windowHeight="12648" activeTab="1"/>
  </bookViews>
  <sheets>
    <sheet name="Summary" sheetId="3" r:id="rId1"/>
    <sheet name="Rigestry" sheetId="1" r:id="rId2"/>
    <sheet name="Pivot Table" sheetId="4" r:id="rId3"/>
  </sheets>
  <calcPr calcId="162913"/>
  <pivotCaches>
    <pivotCache cacheId="1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8" i="1" l="1"/>
  <c r="I18" i="1" s="1"/>
  <c r="P18" i="1"/>
  <c r="Q18" i="1" s="1"/>
  <c r="H16" i="1"/>
  <c r="I16" i="1" s="1"/>
  <c r="P16" i="1"/>
  <c r="Q16" i="1" s="1"/>
  <c r="H32" i="1"/>
  <c r="I32" i="1" s="1"/>
  <c r="P32" i="1"/>
  <c r="Q32" i="1" s="1"/>
  <c r="P34" i="1"/>
  <c r="Q34" i="1" s="1"/>
  <c r="P10" i="1"/>
  <c r="Q10" i="1" s="1"/>
  <c r="P19" i="1"/>
  <c r="Q19" i="1" s="1"/>
  <c r="P21" i="1"/>
  <c r="Q21" i="1" s="1"/>
  <c r="P39" i="1"/>
  <c r="Q39" i="1" s="1"/>
  <c r="P8" i="1"/>
  <c r="Q8" i="1" s="1"/>
  <c r="P14" i="1"/>
  <c r="Q14" i="1" s="1"/>
  <c r="P2" i="1"/>
  <c r="Q2" i="1" s="1"/>
  <c r="P3" i="1"/>
  <c r="Q3" i="1" s="1"/>
  <c r="P36" i="1"/>
  <c r="Q36" i="1" s="1"/>
  <c r="P20" i="1"/>
  <c r="Q20" i="1" s="1"/>
  <c r="P29" i="1"/>
  <c r="Q29" i="1" s="1"/>
  <c r="P37" i="1"/>
  <c r="Q37" i="1" s="1"/>
  <c r="P38" i="1"/>
  <c r="Q38" i="1" s="1"/>
  <c r="P26" i="1"/>
  <c r="Q26" i="1" s="1"/>
  <c r="P6" i="1"/>
  <c r="Q6" i="1" s="1"/>
  <c r="P7" i="1"/>
  <c r="Q7" i="1" s="1"/>
  <c r="P35" i="1"/>
  <c r="Q35" i="1" s="1"/>
  <c r="P24" i="1"/>
  <c r="Q24" i="1" s="1"/>
  <c r="P44" i="1"/>
  <c r="Q44" i="1" s="1"/>
  <c r="P4" i="1"/>
  <c r="Q4" i="1" s="1"/>
  <c r="P23" i="1"/>
  <c r="Q23" i="1" s="1"/>
  <c r="P40" i="1"/>
  <c r="Q40" i="1" s="1"/>
  <c r="P5" i="1"/>
  <c r="Q5" i="1" s="1"/>
  <c r="P42" i="1"/>
  <c r="Q42" i="1" s="1"/>
  <c r="P11" i="1"/>
  <c r="Q11" i="1" s="1"/>
  <c r="P33" i="1"/>
  <c r="Q33" i="1" s="1"/>
  <c r="P13" i="1"/>
  <c r="Q13" i="1" s="1"/>
  <c r="P17" i="1"/>
  <c r="Q17" i="1" s="1"/>
  <c r="P15" i="1"/>
  <c r="Q15" i="1" s="1"/>
  <c r="P45" i="1"/>
  <c r="Q45" i="1" s="1"/>
  <c r="P30" i="1"/>
  <c r="Q30" i="1" s="1"/>
  <c r="P28" i="1"/>
  <c r="Q28" i="1" s="1"/>
  <c r="P25" i="1"/>
  <c r="Q25" i="1" s="1"/>
  <c r="P46" i="1"/>
  <c r="Q46" i="1" s="1"/>
  <c r="P31" i="1"/>
  <c r="Q31" i="1" s="1"/>
  <c r="P27" i="1"/>
  <c r="Q27" i="1" s="1"/>
  <c r="P9" i="1"/>
  <c r="Q9" i="1" s="1"/>
  <c r="P41" i="1"/>
  <c r="Q41" i="1" s="1"/>
  <c r="P22" i="1"/>
  <c r="Q22" i="1" s="1"/>
  <c r="P43" i="1"/>
  <c r="Q43" i="1" s="1"/>
  <c r="P12" i="1"/>
  <c r="Q12" i="1" s="1"/>
  <c r="P47" i="1"/>
  <c r="Q47" i="1" s="1"/>
  <c r="H43" i="1"/>
  <c r="I43" i="1" s="1"/>
  <c r="H12" i="1"/>
  <c r="I12" i="1" s="1"/>
  <c r="H47" i="1"/>
  <c r="I47" i="1" s="1"/>
  <c r="H17" i="1"/>
  <c r="I17" i="1" s="1"/>
  <c r="H15" i="1"/>
  <c r="I15" i="1" s="1"/>
  <c r="H45" i="1"/>
  <c r="I45" i="1" s="1"/>
  <c r="H30" i="1"/>
  <c r="I30" i="1" s="1"/>
  <c r="H28" i="1"/>
  <c r="I28" i="1" s="1"/>
  <c r="H25" i="1"/>
  <c r="I25" i="1" s="1"/>
  <c r="H46" i="1"/>
  <c r="I46" i="1" s="1"/>
  <c r="H31" i="1"/>
  <c r="I31" i="1" s="1"/>
  <c r="H27" i="1"/>
  <c r="I27" i="1" s="1"/>
  <c r="H9" i="1"/>
  <c r="I9" i="1" s="1"/>
  <c r="H41" i="1"/>
  <c r="I41" i="1" s="1"/>
  <c r="H22" i="1"/>
  <c r="I22" i="1" s="1"/>
  <c r="H6" i="1"/>
  <c r="I6" i="1" s="1"/>
  <c r="H7" i="1"/>
  <c r="I7" i="1" s="1"/>
  <c r="H35" i="1"/>
  <c r="I35" i="1" s="1"/>
  <c r="H24" i="1"/>
  <c r="I24" i="1" s="1"/>
  <c r="H44" i="1"/>
  <c r="I44" i="1" s="1"/>
  <c r="H4" i="1"/>
  <c r="I4" i="1" s="1"/>
  <c r="H23" i="1"/>
  <c r="I23" i="1" s="1"/>
  <c r="H40" i="1"/>
  <c r="I40" i="1" s="1"/>
  <c r="H5" i="1"/>
  <c r="I5" i="1" s="1"/>
  <c r="H42" i="1"/>
  <c r="I42" i="1" s="1"/>
  <c r="H11" i="1"/>
  <c r="I11" i="1" s="1"/>
  <c r="H33" i="1"/>
  <c r="I33" i="1" s="1"/>
  <c r="H13" i="1"/>
  <c r="I13" i="1" s="1"/>
  <c r="H8" i="1"/>
  <c r="I8" i="1" s="1"/>
  <c r="H14" i="1"/>
  <c r="I14" i="1" s="1"/>
  <c r="H2" i="1"/>
  <c r="I2" i="1" s="1"/>
  <c r="H3" i="1"/>
  <c r="I3" i="1" s="1"/>
  <c r="H36" i="1"/>
  <c r="I36" i="1" s="1"/>
  <c r="H20" i="1"/>
  <c r="I20" i="1" s="1"/>
  <c r="H29" i="1"/>
  <c r="I29" i="1" s="1"/>
  <c r="H37" i="1"/>
  <c r="I37" i="1" s="1"/>
  <c r="H38" i="1"/>
  <c r="I38" i="1" s="1"/>
  <c r="H26" i="1"/>
  <c r="I26" i="1" s="1"/>
  <c r="H10" i="1"/>
  <c r="I10" i="1" s="1"/>
  <c r="H19" i="1"/>
  <c r="I19" i="1" s="1"/>
  <c r="H21" i="1"/>
  <c r="I21" i="1" s="1"/>
  <c r="H39" i="1"/>
  <c r="I39" i="1" s="1"/>
  <c r="H34" i="1"/>
  <c r="I34" i="1" s="1"/>
</calcChain>
</file>

<file path=xl/sharedStrings.xml><?xml version="1.0" encoding="utf-8"?>
<sst xmlns="http://schemas.openxmlformats.org/spreadsheetml/2006/main" count="481" uniqueCount="298">
  <si>
    <t>ID</t>
  </si>
  <si>
    <t>Threat</t>
  </si>
  <si>
    <t>Vulnerability</t>
  </si>
  <si>
    <t>Impact</t>
  </si>
  <si>
    <t>Risk Level</t>
  </si>
  <si>
    <t>Existing Controls</t>
  </si>
  <si>
    <t>Risk Owner</t>
  </si>
  <si>
    <t>Customer Financial Data</t>
  </si>
  <si>
    <t>High</t>
  </si>
  <si>
    <t>Medium</t>
  </si>
  <si>
    <t>Network Infrastructure</t>
  </si>
  <si>
    <t>Email System</t>
  </si>
  <si>
    <t>Low</t>
  </si>
  <si>
    <t>Non-compliance</t>
  </si>
  <si>
    <t>Asset / Process</t>
  </si>
  <si>
    <t>Unauthorized access / breach</t>
  </si>
  <si>
    <t>Weak authentication</t>
  </si>
  <si>
    <t>MFA, Role-based access</t>
  </si>
  <si>
    <t>Regular access reviews, strengthen MFA</t>
  </si>
  <si>
    <t>Customer Personal Data</t>
  </si>
  <si>
    <t>Data leakage</t>
  </si>
  <si>
    <t>Improper storage</t>
  </si>
  <si>
    <t>Encryption at rest</t>
  </si>
  <si>
    <t>Full data lifecycle encryption, staff training</t>
  </si>
  <si>
    <t>Internal Emails</t>
  </si>
  <si>
    <t>Phishing attack</t>
  </si>
  <si>
    <t>User awareness</t>
  </si>
  <si>
    <t>Email filtering, spam detection</t>
  </si>
  <si>
    <t>Conduct phishing simulations, awareness programs</t>
  </si>
  <si>
    <t>IT Systems</t>
  </si>
  <si>
    <t>Malware infection</t>
  </si>
  <si>
    <t>Outdated antivirus</t>
  </si>
  <si>
    <t>AV software installed</t>
  </si>
  <si>
    <t>Regular updates, endpoint detection</t>
  </si>
  <si>
    <t>Financial Systems</t>
  </si>
  <si>
    <t>Ransomware attack</t>
  </si>
  <si>
    <t>Unpatched systems</t>
  </si>
  <si>
    <t>Patch policy</t>
  </si>
  <si>
    <t>Patch management automation, backups</t>
  </si>
  <si>
    <t>HR Records</t>
  </si>
  <si>
    <t>Insider threat</t>
  </si>
  <si>
    <t>Excessive access rights</t>
  </si>
  <si>
    <t>Role-based access</t>
  </si>
  <si>
    <t>Least privilege principle, monitor logs</t>
  </si>
  <si>
    <t>Cloud Storage</t>
  </si>
  <si>
    <t>Misconfiguration</t>
  </si>
  <si>
    <t>Lack of monitoring</t>
  </si>
  <si>
    <t>SaaS policy</t>
  </si>
  <si>
    <t>Continuous cloud security monitoring</t>
  </si>
  <si>
    <t>Vendor Data</t>
  </si>
  <si>
    <t>Third-party breach</t>
  </si>
  <si>
    <t>Weak vendor controls</t>
  </si>
  <si>
    <t>Supplier Security Policy</t>
  </si>
  <si>
    <t>Vendor risk assessments, contractual obligations</t>
  </si>
  <si>
    <t>Vendor Manager</t>
  </si>
  <si>
    <t>Backup Data</t>
  </si>
  <si>
    <t>Data corruption</t>
  </si>
  <si>
    <t>Backup failure</t>
  </si>
  <si>
    <t>Regular backups</t>
  </si>
  <si>
    <t>Verify backup integrity, offline storage</t>
  </si>
  <si>
    <t>Mobile Devices</t>
  </si>
  <si>
    <t>Loss/theft</t>
  </si>
  <si>
    <t>Unsecured mobile</t>
  </si>
  <si>
    <t>Mobile Device Policy</t>
  </si>
  <si>
    <t>Full disk encryption, remote wipe</t>
  </si>
  <si>
    <t>Workstations</t>
  </si>
  <si>
    <t>Unauthorized software installation</t>
  </si>
  <si>
    <t>Lack of endpoint controls</t>
  </si>
  <si>
    <t>Endpoint protection</t>
  </si>
  <si>
    <t>Application whitelisting</t>
  </si>
  <si>
    <t>Unauthorized access</t>
  </si>
  <si>
    <t>Weak network segmentation</t>
  </si>
  <si>
    <t>Firewalls, VLANs</t>
  </si>
  <si>
    <t>Network segmentation review, NAC</t>
  </si>
  <si>
    <t>Corporate Website</t>
  </si>
  <si>
    <t>Defacement / hacking</t>
  </si>
  <si>
    <t>Outdated CMS</t>
  </si>
  <si>
    <t>Regular patching, WAF</t>
  </si>
  <si>
    <t>Payroll System</t>
  </si>
  <si>
    <t>Data manipulation</t>
  </si>
  <si>
    <t>Weak internal controls</t>
  </si>
  <si>
    <t>Segregation of duties</t>
  </si>
  <si>
    <t>Passwords</t>
  </si>
  <si>
    <t>Credential compromise</t>
  </si>
  <si>
    <t>Weak passwords</t>
  </si>
  <si>
    <t>Password Policy</t>
  </si>
  <si>
    <t>Strong password enforcement, MFA</t>
  </si>
  <si>
    <t>Business Continuity Plan</t>
  </si>
  <si>
    <t>Inadequate recovery</t>
  </si>
  <si>
    <t>Outdated BCP</t>
  </si>
  <si>
    <t>BCP documented</t>
  </si>
  <si>
    <t>Annual testing, BCP update</t>
  </si>
  <si>
    <t>CISO</t>
  </si>
  <si>
    <t>Data in Transit</t>
  </si>
  <si>
    <t>Interception</t>
  </si>
  <si>
    <t>Unencrypted communication</t>
  </si>
  <si>
    <t>VPN, TLS encryption</t>
  </si>
  <si>
    <t>End-to-end encryption</t>
  </si>
  <si>
    <t>Cloud Backup</t>
  </si>
  <si>
    <t>Mismanaged keys</t>
  </si>
  <si>
    <t>Rotate keys, restrict access</t>
  </si>
  <si>
    <t>Vendor Support</t>
  </si>
  <si>
    <t>Social engineering attack</t>
  </si>
  <si>
    <t>Human error</t>
  </si>
  <si>
    <t>NDA, contractual obligations</t>
  </si>
  <si>
    <t>Security awareness for vendors</t>
  </si>
  <si>
    <t>Internal Policies</t>
  </si>
  <si>
    <t>Lack of staff awareness</t>
  </si>
  <si>
    <t>Training programs</t>
  </si>
  <si>
    <t>Mandatory annual awareness</t>
  </si>
  <si>
    <t>Internal Audit</t>
  </si>
  <si>
    <t>Audit failure</t>
  </si>
  <si>
    <t>Insufficient documentation</t>
  </si>
  <si>
    <t>ISMS documentation</t>
  </si>
  <si>
    <t>Audit simulations</t>
  </si>
  <si>
    <t>SaaS Applications</t>
  </si>
  <si>
    <t>Data breach</t>
  </si>
  <si>
    <t>Weak vendor SLA</t>
  </si>
  <si>
    <t>Vendor review &amp; penetration testing</t>
  </si>
  <si>
    <t>Financial Reporting</t>
  </si>
  <si>
    <t>Fraud</t>
  </si>
  <si>
    <t>Lack of segregation of duties</t>
  </si>
  <si>
    <t>Internal controls</t>
  </si>
  <si>
    <t>System Logs</t>
  </si>
  <si>
    <t>Tampering</t>
  </si>
  <si>
    <t>Insufficient logging</t>
  </si>
  <si>
    <t>Logging policy</t>
  </si>
  <si>
    <t>Centralized SIEM, log integrity</t>
  </si>
  <si>
    <t>Remote Working</t>
  </si>
  <si>
    <t>Home network vulnerabilities</t>
  </si>
  <si>
    <t>Remote Working Policy</t>
  </si>
  <si>
    <t>VPN mandatory, endpoint security</t>
  </si>
  <si>
    <t>Ransomware</t>
  </si>
  <si>
    <t>Malicious attachments</t>
  </si>
  <si>
    <t>Spam filtering</t>
  </si>
  <si>
    <t>Attachment scanning, user training</t>
  </si>
  <si>
    <t>Regulatory Data</t>
  </si>
  <si>
    <t>Inadequate controls</t>
  </si>
  <si>
    <t>Data Protection Policy</t>
  </si>
  <si>
    <t>Compliance audits, training</t>
  </si>
  <si>
    <t>Compliance Officer</t>
  </si>
  <si>
    <t>System Admin Accounts</t>
  </si>
  <si>
    <t>Privilege abuse</t>
  </si>
  <si>
    <t>No monitoring</t>
  </si>
  <si>
    <t>Access control, MFA</t>
  </si>
  <si>
    <t>Periodic review, logging</t>
  </si>
  <si>
    <t>Network Equipment</t>
  </si>
  <si>
    <t>Configuration errors</t>
  </si>
  <si>
    <t>Lack of change control</t>
  </si>
  <si>
    <t>Change management</t>
  </si>
  <si>
    <t>Configuration review, automated backups</t>
  </si>
  <si>
    <t>APIs</t>
  </si>
  <si>
    <t>OAuth2 / token-based auth, monitoring</t>
  </si>
  <si>
    <t>Incident Response</t>
  </si>
  <si>
    <t>Delayed response</t>
  </si>
  <si>
    <t>No defined procedure</t>
  </si>
  <si>
    <t>IR Policy</t>
  </si>
  <si>
    <t>Tabletop exercises, incident drills</t>
  </si>
  <si>
    <t>Data Classification</t>
  </si>
  <si>
    <t>Misclassification</t>
  </si>
  <si>
    <t>Staff unaware</t>
  </si>
  <si>
    <t>Information Classification Policy</t>
  </si>
  <si>
    <t>Training &amp; monitoring</t>
  </si>
  <si>
    <t>Encryption Keys</t>
  </si>
  <si>
    <t>Loss / compromise</t>
  </si>
  <si>
    <t>Weak key management</t>
  </si>
  <si>
    <t>Centralized key vault, rotation</t>
  </si>
  <si>
    <t>End-of-Life Devices</t>
  </si>
  <si>
    <t>Not wiped properly</t>
  </si>
  <si>
    <t>Asset Disposal Policy</t>
  </si>
  <si>
    <t>Secure wiping, inventory</t>
  </si>
  <si>
    <t>Cloud Collaboration Tools</t>
  </si>
  <si>
    <t>Accidental disclosure</t>
  </si>
  <si>
    <t>User error</t>
  </si>
  <si>
    <t>Access control &amp; policy</t>
  </si>
  <si>
    <t>User training, DLP tools</t>
  </si>
  <si>
    <t>IT Change Management</t>
  </si>
  <si>
    <t>System outages</t>
  </si>
  <si>
    <t>Unauthorized changes</t>
  </si>
  <si>
    <t>Change approval</t>
  </si>
  <si>
    <t>Formal review, rollback procedures</t>
  </si>
  <si>
    <t>Vendor Onboarding</t>
  </si>
  <si>
    <t>Weak security posture</t>
  </si>
  <si>
    <t>No vetting</t>
  </si>
  <si>
    <t>Pre-contract risk assessment</t>
  </si>
  <si>
    <t>Mobile App</t>
  </si>
  <si>
    <t>Insecure coding</t>
  </si>
  <si>
    <t>Code review, secure development training</t>
  </si>
  <si>
    <t>Website</t>
  </si>
  <si>
    <t>DoS / DDoS attack</t>
  </si>
  <si>
    <t>Firewall, rate limiting</t>
  </si>
  <si>
    <t>Anti-DDoS services</t>
  </si>
  <si>
    <t>Internal Chat / Collaboration</t>
  </si>
  <si>
    <t>No encryption</t>
  </si>
  <si>
    <t>Encrypt messages, monitoring</t>
  </si>
  <si>
    <t>Printing / Scanning Devices</t>
  </si>
  <si>
    <t>Confidential data exposure</t>
  </si>
  <si>
    <t>No access controls</t>
  </si>
  <si>
    <t>Access restrictions, audit logs</t>
  </si>
  <si>
    <t>Software Deployment</t>
  </si>
  <si>
    <t>Unauthorized software</t>
  </si>
  <si>
    <t>No approval process</t>
  </si>
  <si>
    <t>Patch &amp; Deployment Policy</t>
  </si>
  <si>
    <t>Finance Department</t>
  </si>
  <si>
    <t>IT Department</t>
  </si>
  <si>
    <t>Operational Depratment</t>
  </si>
  <si>
    <t xml:space="preserve">Operational Department </t>
  </si>
  <si>
    <t>ISMS Manager</t>
  </si>
  <si>
    <t>HR Department</t>
  </si>
  <si>
    <t>Count of ID</t>
  </si>
  <si>
    <t>Row Labels</t>
  </si>
  <si>
    <t>Grand Total</t>
  </si>
  <si>
    <t>Column Labels</t>
  </si>
  <si>
    <t>Unauthorized edits</t>
  </si>
  <si>
    <t>Weak content management permissions</t>
  </si>
  <si>
    <t>Enable 2FA on CMS, monitor edits regularly</t>
  </si>
  <si>
    <t>Risk Scenario</t>
  </si>
  <si>
    <t>Regular audits, approval workf1s</t>
  </si>
  <si>
    <t>Audit logging, workf1 approvals</t>
  </si>
  <si>
    <t>Enforce approval workf1</t>
  </si>
  <si>
    <t>Risk Score</t>
  </si>
  <si>
    <t>Treatment Startegy</t>
  </si>
  <si>
    <t xml:space="preserve">Treatment </t>
  </si>
  <si>
    <t>Residual Impact</t>
  </si>
  <si>
    <t xml:space="preserve">Residual Likelihood </t>
  </si>
  <si>
    <t>Residual Risk Score</t>
  </si>
  <si>
    <t>Residual Risk Level</t>
  </si>
  <si>
    <t>Status</t>
  </si>
  <si>
    <t>None Applied</t>
  </si>
  <si>
    <t>Weak API authentication allows unauthorized actors to access sensitive data through exposed endpoints, resulting in confidential information disclosure.</t>
  </si>
  <si>
    <t>Open</t>
  </si>
  <si>
    <t>Failure to validate backup integrity leads to corrupted recovery points, preventing restoration after system failure.</t>
  </si>
  <si>
    <t>Closed</t>
  </si>
  <si>
    <t>Outdated continuity documentation results in ineffective recovery during major disruption.</t>
  </si>
  <si>
    <t>Liklihood</t>
  </si>
  <si>
    <t>Improper cryptographic key management allows attackers to decrypt stored cloud backup data.</t>
  </si>
  <si>
    <t>Users mistakenly share confidential documents publicly via cloud sharing links.</t>
  </si>
  <si>
    <t>Misconfigured cloud storage bucket exposes internal or customer data publicly.</t>
  </si>
  <si>
    <t>Attacker exploits outdated CMS to deface site or inject malicious code</t>
  </si>
  <si>
    <t>Weak authentication enables attacker to access financial records</t>
  </si>
  <si>
    <t>Improper storage exposes personal data, leading to regulatory penalties.</t>
  </si>
  <si>
    <t>Sensitive data mislabeled as public leads to exposure</t>
  </si>
  <si>
    <t>Data intercepted over insecure channel.</t>
  </si>
  <si>
    <t>Outdated antivirus signatures fail to detect modern malware, allowing malicious code to execute on core IT systems, potentially causing operational disruption and lateral movement</t>
  </si>
  <si>
    <t>Improper input validation or insecure API calls in the mobile application expose sensitive user data to unauthorized parties.</t>
  </si>
  <si>
    <t>Lost or stolen mobile device without encryption exposes corporate email and cached files</t>
  </si>
  <si>
    <t>Unreviewed configuration changes introduce routing instability or security gaps, leading to outages or exposure.</t>
  </si>
  <si>
    <t>Flat network architecture allows an attacker who compromises one host to move laterally across internal systems.</t>
  </si>
  <si>
    <t>Weak password complexity enables brute-force or credential stuffing attacks leading to account takeover.</t>
  </si>
  <si>
    <t>Insufficient approval workflows allow unauthorized modification of payroll records, enabling fraud.</t>
  </si>
  <si>
    <t>Unsecured print queues allow unauthorized retrieval of confidential printed documents.</t>
  </si>
  <si>
    <t>Failure to implement required compliance safeguards results in regulatory fines and legal liability.</t>
  </si>
  <si>
    <t>Compromised home routers allow interception of corporate traffic or credential theft.</t>
  </si>
  <si>
    <t>SaaS provider security failure exposes stored corporate data.</t>
  </si>
  <si>
    <t>Transfer</t>
  </si>
  <si>
    <t>Employees install unauthorized applications introducing malware or licensing violations.</t>
  </si>
  <si>
    <t>Privileged user abuses elevated access to manipulate or exfiltrate sensitive data.</t>
  </si>
  <si>
    <t>Attacker deletes or modifies logs to conceal malicious activity.</t>
  </si>
  <si>
    <t>Vendor compromise leads to exposure of shared corporate data.</t>
  </si>
  <si>
    <t>Onboarding insecure vendor introduces supply-chain risk.</t>
  </si>
  <si>
    <t>Support staff tricked into disclosing credentials or resetting accounts for attackers.</t>
  </si>
  <si>
    <t>Distributed denial-of-service attack overwhelms website, causing downtime and revenue loss.</t>
  </si>
  <si>
    <t>Users install unauthorized software introducing malware or data exfiltration risk.</t>
  </si>
  <si>
    <t>Improper role configuration allows unauthorized users to modify website content, potentially leading to defacement or malicious script injection.</t>
  </si>
  <si>
    <t>User opens a malicious attachment delivered via phishing email, leading to ransomware execution that encrypts file shares and disrupts operations.</t>
  </si>
  <si>
    <t>Poor key lifecycle management results in exposure or loss of cryptographic keys, rendering encrypted data readable or unrecoverable.</t>
  </si>
  <si>
    <t>Retired laptops or servers sold or disposed of without secure wiping expose residual sensitive data.</t>
  </si>
  <si>
    <t>Single individual controls report preparation and approval, enabling financial manipulation without detection.</t>
  </si>
  <si>
    <t>Unpatched financial application exploited, allowing ransomware deployment that halts billing and accounting operations.</t>
  </si>
  <si>
    <t>HR employee with unnecessary broad access exports confidential employee data for malicious purposes.</t>
  </si>
  <si>
    <t>Security incident occurs but lack of documented escalation procedure delays containment, increasing damage.</t>
  </si>
  <si>
    <t>Incomplete documentation results in failed compliance audit, triggering regulatory penalties.</t>
  </si>
  <si>
    <t>Internal chat messages containing sensitive information are intercepted or accessed by unauthorized users.</t>
  </si>
  <si>
    <t>Employee responds to phishing email and discloses credentials, leading to account compromise.</t>
  </si>
  <si>
    <t>Employees fail to follow documented security policies due to lack of awareness, increasing exposure to operational and regulatory risk.</t>
  </si>
  <si>
    <t>Unapproved system change causes service disruption affecting production systems.</t>
  </si>
  <si>
    <t>ATM Network</t>
  </si>
  <si>
    <t>Skimming / Physical Tampering</t>
  </si>
  <si>
    <t>Limited Physical Surveillance</t>
  </si>
  <si>
    <t>An attacker installs a skimming device on a low-traffic ATM located in a remote area, capturing card data before detection.</t>
  </si>
  <si>
    <t>Acceptance</t>
  </si>
  <si>
    <t>Risk formally accepted by Risk Committee; periodic inspection maintained.</t>
  </si>
  <si>
    <t>Core Banking Platform</t>
  </si>
  <si>
    <t>Major System Failure</t>
  </si>
  <si>
    <t>Third-Party Hosting Provider</t>
  </si>
  <si>
    <t>Cloud hosting provider outage disrupts access to core banking services, affecting transactions and customer access.</t>
  </si>
  <si>
    <t xml:space="preserve">SLA with financial penalties, Contractual liability clauses, Cyber insurance coverage, Multi-region redundancy </t>
  </si>
  <si>
    <t>Online Banking Portal</t>
  </si>
  <si>
    <t>Credential Stuffing</t>
  </si>
  <si>
    <t>Weak Password Reuse by Customers</t>
  </si>
  <si>
    <t>Attackers use breached credential databases to attempt large-scale login attempts against customer accounts.</t>
  </si>
  <si>
    <t>Mandatory MFA for all customers, Behavioral anomaly detection, Rate limiting + bot protection</t>
  </si>
  <si>
    <t>Critical</t>
  </si>
  <si>
    <t>Sum of ID</t>
  </si>
  <si>
    <t>Mitigate</t>
  </si>
  <si>
    <t>Mitigate + Transfer</t>
  </si>
  <si>
    <t xml:space="preserve">Mitigate </t>
  </si>
  <si>
    <t>Limited Mitigate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</si>
</sst>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0" fillId="0" borderId="0" xfId="0" applyNumberFormat="1" applyAlignment="1">
      <alignment vertical="center" wrapText="1"/>
    </xf>
  </cellXfs>
  <cellStyles count="1">
    <cellStyle name="Normal" xfId="0" builtinId="0"/>
  </cellStyles>
  <dxfs count="20"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[Risk Reigester.xlsx]Pivot Table!PivotTable4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Risk Identefied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6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4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tx1">
              <a:lumMod val="85000"/>
              <a:lumOff val="1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Table'!$C$4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D63-4983-84AA-3F968659042E}"/>
              </c:ext>
            </c:extLst>
          </c:dPt>
          <c:dPt>
            <c:idx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D63-4983-84AA-3F968659042E}"/>
              </c:ext>
            </c:extLst>
          </c:dPt>
          <c:dPt>
            <c:idx val="2"/>
            <c:bubble3D val="0"/>
            <c:spPr>
              <a:solidFill>
                <a:schemeClr val="tx1">
                  <a:lumMod val="85000"/>
                  <a:lumOff val="1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D63-4983-84AA-3F968659042E}"/>
              </c:ext>
            </c:extLst>
          </c:dPt>
          <c:cat>
            <c:strRef>
              <c:f>'Pivot Table'!$B$5:$B$8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Critical</c:v>
                </c:pt>
              </c:strCache>
            </c:strRef>
          </c:cat>
          <c:val>
            <c:numRef>
              <c:f>'Pivot Table'!$C$5:$C$8</c:f>
              <c:numCache>
                <c:formatCode>General</c:formatCode>
                <c:ptCount val="3"/>
                <c:pt idx="0">
                  <c:v>36</c:v>
                </c:pt>
                <c:pt idx="1">
                  <c:v>3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D63-4983-84AA-3F96865904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[Risk Reigester.xlsx]Pivot Table!PivotTable6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tx1">
              <a:lumMod val="85000"/>
              <a:lumOff val="15000"/>
            </a:schemeClr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Table'!$C$17:$C$18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'Pivot Table'!$B$19:$B$29</c:f>
              <c:strCache>
                <c:ptCount val="10"/>
                <c:pt idx="0">
                  <c:v>CISO</c:v>
                </c:pt>
                <c:pt idx="1">
                  <c:v>Compliance Officer</c:v>
                </c:pt>
                <c:pt idx="2">
                  <c:v>Finance Department</c:v>
                </c:pt>
                <c:pt idx="3">
                  <c:v>HR Department</c:v>
                </c:pt>
                <c:pt idx="4">
                  <c:v>Internal Audit</c:v>
                </c:pt>
                <c:pt idx="5">
                  <c:v>ISMS Manager</c:v>
                </c:pt>
                <c:pt idx="6">
                  <c:v>IT Department</c:v>
                </c:pt>
                <c:pt idx="7">
                  <c:v>Operational Department </c:v>
                </c:pt>
                <c:pt idx="8">
                  <c:v>Operational Depratment</c:v>
                </c:pt>
                <c:pt idx="9">
                  <c:v>Vendor Manager</c:v>
                </c:pt>
              </c:strCache>
            </c:strRef>
          </c:cat>
          <c:val>
            <c:numRef>
              <c:f>'Pivot Table'!$C$19:$C$29</c:f>
              <c:numCache>
                <c:formatCode>General</c:formatCode>
                <c:ptCount val="10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5">
                  <c:v>1</c:v>
                </c:pt>
                <c:pt idx="6">
                  <c:v>25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3B-47FD-AA47-B0B5CFACEDA8}"/>
            </c:ext>
          </c:extLst>
        </c:ser>
        <c:ser>
          <c:idx val="1"/>
          <c:order val="1"/>
          <c:tx>
            <c:strRef>
              <c:f>'Pivot Table'!$D$17:$D$18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Table'!$B$19:$B$29</c:f>
              <c:strCache>
                <c:ptCount val="10"/>
                <c:pt idx="0">
                  <c:v>CISO</c:v>
                </c:pt>
                <c:pt idx="1">
                  <c:v>Compliance Officer</c:v>
                </c:pt>
                <c:pt idx="2">
                  <c:v>Finance Department</c:v>
                </c:pt>
                <c:pt idx="3">
                  <c:v>HR Department</c:v>
                </c:pt>
                <c:pt idx="4">
                  <c:v>Internal Audit</c:v>
                </c:pt>
                <c:pt idx="5">
                  <c:v>ISMS Manager</c:v>
                </c:pt>
                <c:pt idx="6">
                  <c:v>IT Department</c:v>
                </c:pt>
                <c:pt idx="7">
                  <c:v>Operational Department </c:v>
                </c:pt>
                <c:pt idx="8">
                  <c:v>Operational Depratment</c:v>
                </c:pt>
                <c:pt idx="9">
                  <c:v>Vendor Manager</c:v>
                </c:pt>
              </c:strCache>
            </c:strRef>
          </c:cat>
          <c:val>
            <c:numRef>
              <c:f>'Pivot Table'!$D$19:$D$29</c:f>
              <c:numCache>
                <c:formatCode>General</c:formatCode>
                <c:ptCount val="10"/>
                <c:pt idx="2">
                  <c:v>1</c:v>
                </c:pt>
                <c:pt idx="4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3B-47FD-AA47-B0B5CFACEDA8}"/>
            </c:ext>
          </c:extLst>
        </c:ser>
        <c:ser>
          <c:idx val="2"/>
          <c:order val="2"/>
          <c:tx>
            <c:strRef>
              <c:f>'Pivot Table'!$E$17:$E$18</c:f>
              <c:strCache>
                <c:ptCount val="1"/>
                <c:pt idx="0">
                  <c:v>Critical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Table'!$B$19:$B$29</c:f>
              <c:strCache>
                <c:ptCount val="10"/>
                <c:pt idx="0">
                  <c:v>CISO</c:v>
                </c:pt>
                <c:pt idx="1">
                  <c:v>Compliance Officer</c:v>
                </c:pt>
                <c:pt idx="2">
                  <c:v>Finance Department</c:v>
                </c:pt>
                <c:pt idx="3">
                  <c:v>HR Department</c:v>
                </c:pt>
                <c:pt idx="4">
                  <c:v>Internal Audit</c:v>
                </c:pt>
                <c:pt idx="5">
                  <c:v>ISMS Manager</c:v>
                </c:pt>
                <c:pt idx="6">
                  <c:v>IT Department</c:v>
                </c:pt>
                <c:pt idx="7">
                  <c:v>Operational Department </c:v>
                </c:pt>
                <c:pt idx="8">
                  <c:v>Operational Depratment</c:v>
                </c:pt>
                <c:pt idx="9">
                  <c:v>Vendor Manager</c:v>
                </c:pt>
              </c:strCache>
            </c:strRef>
          </c:cat>
          <c:val>
            <c:numRef>
              <c:f>'Pivot Table'!$E$19:$E$29</c:f>
              <c:numCache>
                <c:formatCode>General</c:formatCode>
                <c:ptCount val="10"/>
                <c:pt idx="2">
                  <c:v>1</c:v>
                </c:pt>
                <c:pt idx="6">
                  <c:v>5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3B-47FD-AA47-B0B5CFACED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7401599"/>
        <c:axId val="1317403263"/>
      </c:barChart>
      <c:catAx>
        <c:axId val="1317401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403263"/>
        <c:crosses val="autoZero"/>
        <c:auto val="1"/>
        <c:lblAlgn val="ctr"/>
        <c:lblOffset val="100"/>
        <c:noMultiLvlLbl val="0"/>
      </c:catAx>
      <c:valAx>
        <c:axId val="1317403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40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[Risk Reigester.xlsx]Pivot Table!PivotTable1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Table'!$J$17:$J$18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'Pivot Table'!$I$19:$I$29</c:f>
              <c:strCache>
                <c:ptCount val="10"/>
                <c:pt idx="0">
                  <c:v>CISO</c:v>
                </c:pt>
                <c:pt idx="1">
                  <c:v>Compliance Officer</c:v>
                </c:pt>
                <c:pt idx="2">
                  <c:v>Finance Department</c:v>
                </c:pt>
                <c:pt idx="3">
                  <c:v>HR Department</c:v>
                </c:pt>
                <c:pt idx="4">
                  <c:v>Internal Audit</c:v>
                </c:pt>
                <c:pt idx="5">
                  <c:v>ISMS Manager</c:v>
                </c:pt>
                <c:pt idx="6">
                  <c:v>IT Department</c:v>
                </c:pt>
                <c:pt idx="7">
                  <c:v>Operational Department </c:v>
                </c:pt>
                <c:pt idx="8">
                  <c:v>Operational Depratment</c:v>
                </c:pt>
                <c:pt idx="9">
                  <c:v>Vendor Manager</c:v>
                </c:pt>
              </c:strCache>
            </c:strRef>
          </c:cat>
          <c:val>
            <c:numRef>
              <c:f>'Pivot Table'!$J$19:$J$29</c:f>
              <c:numCache>
                <c:formatCode>General</c:formatCode>
                <c:ptCount val="10"/>
                <c:pt idx="6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59-433D-ACE6-B356EAE04E56}"/>
            </c:ext>
          </c:extLst>
        </c:ser>
        <c:ser>
          <c:idx val="1"/>
          <c:order val="1"/>
          <c:tx>
            <c:strRef>
              <c:f>'Pivot Table'!$K$17:$K$18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'Pivot Table'!$I$19:$I$29</c:f>
              <c:strCache>
                <c:ptCount val="10"/>
                <c:pt idx="0">
                  <c:v>CISO</c:v>
                </c:pt>
                <c:pt idx="1">
                  <c:v>Compliance Officer</c:v>
                </c:pt>
                <c:pt idx="2">
                  <c:v>Finance Department</c:v>
                </c:pt>
                <c:pt idx="3">
                  <c:v>HR Department</c:v>
                </c:pt>
                <c:pt idx="4">
                  <c:v>Internal Audit</c:v>
                </c:pt>
                <c:pt idx="5">
                  <c:v>ISMS Manager</c:v>
                </c:pt>
                <c:pt idx="6">
                  <c:v>IT Department</c:v>
                </c:pt>
                <c:pt idx="7">
                  <c:v>Operational Department </c:v>
                </c:pt>
                <c:pt idx="8">
                  <c:v>Operational Depratment</c:v>
                </c:pt>
                <c:pt idx="9">
                  <c:v>Vendor Manager</c:v>
                </c:pt>
              </c:strCache>
            </c:strRef>
          </c:cat>
          <c:val>
            <c:numRef>
              <c:f>'Pivot Table'!$K$19:$K$29</c:f>
              <c:numCache>
                <c:formatCode>General</c:formatCode>
                <c:ptCount val="10"/>
                <c:pt idx="0">
                  <c:v>34</c:v>
                </c:pt>
                <c:pt idx="2">
                  <c:v>39</c:v>
                </c:pt>
                <c:pt idx="4">
                  <c:v>23</c:v>
                </c:pt>
                <c:pt idx="5">
                  <c:v>22</c:v>
                </c:pt>
                <c:pt idx="6">
                  <c:v>523</c:v>
                </c:pt>
                <c:pt idx="7">
                  <c:v>35</c:v>
                </c:pt>
                <c:pt idx="9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59-433D-ACE6-B356EAE04E56}"/>
            </c:ext>
          </c:extLst>
        </c:ser>
        <c:ser>
          <c:idx val="2"/>
          <c:order val="2"/>
          <c:tx>
            <c:strRef>
              <c:f>'Pivot Table'!$L$17:$L$18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Table'!$I$19:$I$29</c:f>
              <c:strCache>
                <c:ptCount val="10"/>
                <c:pt idx="0">
                  <c:v>CISO</c:v>
                </c:pt>
                <c:pt idx="1">
                  <c:v>Compliance Officer</c:v>
                </c:pt>
                <c:pt idx="2">
                  <c:v>Finance Department</c:v>
                </c:pt>
                <c:pt idx="3">
                  <c:v>HR Department</c:v>
                </c:pt>
                <c:pt idx="4">
                  <c:v>Internal Audit</c:v>
                </c:pt>
                <c:pt idx="5">
                  <c:v>ISMS Manager</c:v>
                </c:pt>
                <c:pt idx="6">
                  <c:v>IT Department</c:v>
                </c:pt>
                <c:pt idx="7">
                  <c:v>Operational Department </c:v>
                </c:pt>
                <c:pt idx="8">
                  <c:v>Operational Depratment</c:v>
                </c:pt>
                <c:pt idx="9">
                  <c:v>Vendor Manager</c:v>
                </c:pt>
              </c:strCache>
            </c:strRef>
          </c:cat>
          <c:val>
            <c:numRef>
              <c:f>'Pivot Table'!$L$19:$L$29</c:f>
              <c:numCache>
                <c:formatCode>General</c:formatCode>
                <c:ptCount val="10"/>
                <c:pt idx="0">
                  <c:v>18</c:v>
                </c:pt>
                <c:pt idx="1">
                  <c:v>29</c:v>
                </c:pt>
                <c:pt idx="2">
                  <c:v>16</c:v>
                </c:pt>
                <c:pt idx="3">
                  <c:v>6</c:v>
                </c:pt>
                <c:pt idx="6">
                  <c:v>241</c:v>
                </c:pt>
                <c:pt idx="8">
                  <c:v>2</c:v>
                </c:pt>
                <c:pt idx="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59-433D-ACE6-B356EAE04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4525551"/>
        <c:axId val="1783834959"/>
      </c:barChart>
      <c:catAx>
        <c:axId val="1944525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3834959"/>
        <c:crosses val="autoZero"/>
        <c:auto val="1"/>
        <c:lblAlgn val="ctr"/>
        <c:lblOffset val="100"/>
        <c:noMultiLvlLbl val="0"/>
      </c:catAx>
      <c:valAx>
        <c:axId val="1783834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525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[Risk Reigester.xlsx]Pivot Table!PivotTable3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Residual Risk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4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Table'!$Q$4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D40-46B5-9197-B0F4200B0CC6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D40-46B5-9197-B0F4200B0CC6}"/>
              </c:ext>
            </c:extLst>
          </c:dPt>
          <c:dPt>
            <c:idx val="2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D40-46B5-9197-B0F4200B0CC6}"/>
              </c:ext>
            </c:extLst>
          </c:dPt>
          <c:cat>
            <c:strRef>
              <c:f>'Pivot Table'!$P$5:$P$8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'Pivot Table'!$Q$5:$Q$8</c:f>
              <c:numCache>
                <c:formatCode>General</c:formatCode>
                <c:ptCount val="3"/>
                <c:pt idx="0">
                  <c:v>1</c:v>
                </c:pt>
                <c:pt idx="1">
                  <c:v>26</c:v>
                </c:pt>
                <c:pt idx="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D40-46B5-9197-B0F4200B0C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0</xdr:row>
      <xdr:rowOff>175260</xdr:rowOff>
    </xdr:from>
    <xdr:to>
      <xdr:col>9</xdr:col>
      <xdr:colOff>205740</xdr:colOff>
      <xdr:row>17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175260</xdr:rowOff>
    </xdr:from>
    <xdr:to>
      <xdr:col>13</xdr:col>
      <xdr:colOff>76200</xdr:colOff>
      <xdr:row>39</xdr:row>
      <xdr:rowOff>30480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182880</xdr:colOff>
      <xdr:row>18</xdr:row>
      <xdr:rowOff>60960</xdr:rowOff>
    </xdr:from>
    <xdr:to>
      <xdr:col>7</xdr:col>
      <xdr:colOff>106680</xdr:colOff>
      <xdr:row>20</xdr:row>
      <xdr:rowOff>15240</xdr:rowOff>
    </xdr:to>
    <xdr:sp macro="" textlink="">
      <xdr:nvSpPr>
        <xdr:cNvPr id="8" name="TextBox 7"/>
        <xdr:cNvSpPr txBox="1"/>
      </xdr:nvSpPr>
      <xdr:spPr>
        <a:xfrm>
          <a:off x="1402080" y="3352800"/>
          <a:ext cx="2971800" cy="3200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Risk Distribution By Department</a:t>
          </a:r>
        </a:p>
      </xdr:txBody>
    </xdr:sp>
    <xdr:clientData/>
  </xdr:twoCellAnchor>
  <xdr:twoCellAnchor>
    <xdr:from>
      <xdr:col>14</xdr:col>
      <xdr:colOff>114300</xdr:colOff>
      <xdr:row>17</xdr:row>
      <xdr:rowOff>129540</xdr:rowOff>
    </xdr:from>
    <xdr:to>
      <xdr:col>25</xdr:col>
      <xdr:colOff>182880</xdr:colOff>
      <xdr:row>39</xdr:row>
      <xdr:rowOff>15240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266700</xdr:colOff>
      <xdr:row>17</xdr:row>
      <xdr:rowOff>175260</xdr:rowOff>
    </xdr:from>
    <xdr:to>
      <xdr:col>22</xdr:col>
      <xdr:colOff>259080</xdr:colOff>
      <xdr:row>19</xdr:row>
      <xdr:rowOff>129540</xdr:rowOff>
    </xdr:to>
    <xdr:sp macro="" textlink="">
      <xdr:nvSpPr>
        <xdr:cNvPr id="10" name="TextBox 9"/>
        <xdr:cNvSpPr txBox="1"/>
      </xdr:nvSpPr>
      <xdr:spPr>
        <a:xfrm>
          <a:off x="9410700" y="3284220"/>
          <a:ext cx="4259580" cy="3200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Residiual Risk Distribution By Department</a:t>
          </a:r>
        </a:p>
      </xdr:txBody>
    </xdr:sp>
    <xdr:clientData/>
  </xdr:twoCellAnchor>
  <xdr:twoCellAnchor>
    <xdr:from>
      <xdr:col>11</xdr:col>
      <xdr:colOff>7620</xdr:colOff>
      <xdr:row>0</xdr:row>
      <xdr:rowOff>106680</xdr:rowOff>
    </xdr:from>
    <xdr:to>
      <xdr:col>18</xdr:col>
      <xdr:colOff>525780</xdr:colOff>
      <xdr:row>17</xdr:row>
      <xdr:rowOff>7620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6083.742460185182" createdVersion="6" refreshedVersion="6" minRefreshableVersion="3" recordCount="46">
  <cacheSource type="worksheet">
    <worksheetSource name="Table1"/>
  </cacheSource>
  <cacheFields count="18">
    <cacheField name="ID" numFmtId="0">
      <sharedItems containsSemiMixedTypes="0" containsString="0" containsNumber="1" containsInteger="1" minValue="1" maxValue="46" count="4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</sharedItems>
    </cacheField>
    <cacheField name="Asset / Process" numFmtId="0">
      <sharedItems/>
    </cacheField>
    <cacheField name="Threat" numFmtId="0">
      <sharedItems/>
    </cacheField>
    <cacheField name="Vulnerability" numFmtId="0">
      <sharedItems/>
    </cacheField>
    <cacheField name="Risk Scenario" numFmtId="0">
      <sharedItems/>
    </cacheField>
    <cacheField name="Liklihood" numFmtId="0">
      <sharedItems containsSemiMixedTypes="0" containsString="0" containsNumber="1" containsInteger="1" minValue="2" maxValue="5"/>
    </cacheField>
    <cacheField name="Impact" numFmtId="0">
      <sharedItems containsSemiMixedTypes="0" containsString="0" containsNumber="1" containsInteger="1" minValue="3" maxValue="4"/>
    </cacheField>
    <cacheField name="Risk Score" numFmtId="0">
      <sharedItems containsSemiMixedTypes="0" containsString="0" containsNumber="1" containsInteger="1" minValue="6" maxValue="16"/>
    </cacheField>
    <cacheField name="Risk Level" numFmtId="0">
      <sharedItems count="4">
        <s v="Critical"/>
        <s v="High"/>
        <s v="Medium"/>
        <s v="Low" u="1"/>
      </sharedItems>
    </cacheField>
    <cacheField name="Existing Controls" numFmtId="0">
      <sharedItems/>
    </cacheField>
    <cacheField name="Treatment Startegy" numFmtId="0">
      <sharedItems/>
    </cacheField>
    <cacheField name="Treatment " numFmtId="0">
      <sharedItems/>
    </cacheField>
    <cacheField name="Risk Owner" numFmtId="0">
      <sharedItems count="10">
        <s v="Finance Department"/>
        <s v="Operational Depratment"/>
        <s v="IT Department"/>
        <s v="HR Department"/>
        <s v="Vendor Manager"/>
        <s v="CISO"/>
        <s v="ISMS Manager"/>
        <s v="Internal Audit"/>
        <s v="Compliance Officer"/>
        <s v="Operational Department "/>
      </sharedItems>
    </cacheField>
    <cacheField name="Residual Likelihood " numFmtId="0">
      <sharedItems containsSemiMixedTypes="0" containsString="0" containsNumber="1" containsInteger="1" minValue="1" maxValue="3"/>
    </cacheField>
    <cacheField name="Residual Impact" numFmtId="0">
      <sharedItems containsSemiMixedTypes="0" containsString="0" containsNumber="1" containsInteger="1" minValue="2" maxValue="4"/>
    </cacheField>
    <cacheField name="Residual Risk Score" numFmtId="0">
      <sharedItems containsSemiMixedTypes="0" containsString="0" containsNumber="1" containsInteger="1" minValue="2" maxValue="9"/>
    </cacheField>
    <cacheField name="Residual Risk Level" numFmtId="0">
      <sharedItems count="3">
        <s v="Medium"/>
        <s v="Low"/>
        <s v="High"/>
      </sharedItems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6">
  <r>
    <x v="0"/>
    <s v="Customer Financial Data"/>
    <s v="Unauthorized access / breach"/>
    <s v="Weak authentication"/>
    <s v="Weak authentication enables attacker to access financial records"/>
    <n v="4"/>
    <n v="4"/>
    <n v="16"/>
    <x v="0"/>
    <s v="MFA, Role-based access"/>
    <s v="Mitigation"/>
    <s v="Regular access reviews, strengthen MFA"/>
    <x v="0"/>
    <n v="2"/>
    <n v="4"/>
    <n v="8"/>
    <x v="0"/>
    <s v="Open"/>
  </r>
  <r>
    <x v="1"/>
    <s v="Customer Personal Data"/>
    <s v="Data leakage"/>
    <s v="Improper storage"/>
    <s v="Improper storage exposes personal data, leading to regulatory penalties."/>
    <n v="3"/>
    <n v="4"/>
    <n v="12"/>
    <x v="1"/>
    <s v="Encryption at rest"/>
    <s v="Mitigation"/>
    <s v="Full data lifecycle encryption, staff training"/>
    <x v="1"/>
    <n v="2"/>
    <n v="3"/>
    <n v="6"/>
    <x v="0"/>
    <s v="Open"/>
  </r>
  <r>
    <x v="2"/>
    <s v="Internal Emails"/>
    <s v="Phishing attack"/>
    <s v="User awareness"/>
    <s v="Employee responds to phishing email and discloses credentials, leading to account compromise."/>
    <n v="4"/>
    <n v="3"/>
    <n v="12"/>
    <x v="1"/>
    <s v="Email filtering, spam detection"/>
    <s v="Mitigation"/>
    <s v="Conduct phishing simulations, awareness programs"/>
    <x v="2"/>
    <n v="2"/>
    <n v="2"/>
    <n v="4"/>
    <x v="1"/>
    <s v="Open"/>
  </r>
  <r>
    <x v="3"/>
    <s v="IT Systems"/>
    <s v="Malware infection"/>
    <s v="Outdated antivirus"/>
    <s v="Outdated antivirus signatures fail to detect modern malware, allowing malicious code to execute on core IT systems, potentially causing operational disruption and lateral movement"/>
    <n v="3"/>
    <n v="4"/>
    <n v="12"/>
    <x v="1"/>
    <s v="AV software installed"/>
    <s v="Mitigation"/>
    <s v="Regular updates, endpoint detection"/>
    <x v="2"/>
    <n v="2"/>
    <n v="3"/>
    <n v="6"/>
    <x v="0"/>
    <s v="Open"/>
  </r>
  <r>
    <x v="4"/>
    <s v="Financial Systems"/>
    <s v="Ransomware attack"/>
    <s v="Unpatched systems"/>
    <s v="Unpatched financial application exploited, allowing ransomware deployment that halts billing and accounting operations."/>
    <n v="4"/>
    <n v="4"/>
    <n v="16"/>
    <x v="0"/>
    <s v="Patch policy"/>
    <s v="Mitigation"/>
    <s v="Patch management automation, backups"/>
    <x v="2"/>
    <n v="2"/>
    <n v="4"/>
    <n v="8"/>
    <x v="0"/>
    <s v="Open"/>
  </r>
  <r>
    <x v="5"/>
    <s v="HR Records"/>
    <s v="Insider threat"/>
    <s v="Excessive access rights"/>
    <s v="HR employee with unnecessary broad access exports confidential employee data for malicious purposes."/>
    <n v="3"/>
    <n v="4"/>
    <n v="12"/>
    <x v="1"/>
    <s v="Role-based access"/>
    <s v="Mitigation"/>
    <s v="Least privilege principle, monitor logs"/>
    <x v="3"/>
    <n v="2"/>
    <n v="3"/>
    <n v="6"/>
    <x v="0"/>
    <s v="Open"/>
  </r>
  <r>
    <x v="6"/>
    <s v="Cloud Storage"/>
    <s v="Misconfiguration"/>
    <s v="Lack of monitoring"/>
    <s v="Misconfigured cloud storage bucket exposes internal or customer data publicly."/>
    <n v="4"/>
    <n v="4"/>
    <n v="16"/>
    <x v="0"/>
    <s v="None Applied"/>
    <s v="Mitigation"/>
    <s v="Continuous cloud security monitoring"/>
    <x v="2"/>
    <n v="2"/>
    <n v="3"/>
    <n v="6"/>
    <x v="0"/>
    <s v="Open"/>
  </r>
  <r>
    <x v="7"/>
    <s v="Vendor Data"/>
    <s v="Third-party breach"/>
    <s v="Weak vendor controls"/>
    <s v="Vendor compromise leads to exposure of shared corporate data."/>
    <n v="3"/>
    <n v="4"/>
    <n v="12"/>
    <x v="1"/>
    <s v="Supplier Security Policy"/>
    <s v="Mitigation + Transfer"/>
    <s v="Vendor risk assessments, contractual obligations"/>
    <x v="4"/>
    <n v="2"/>
    <n v="3"/>
    <n v="6"/>
    <x v="0"/>
    <s v="Open"/>
  </r>
  <r>
    <x v="8"/>
    <s v="Backup Data"/>
    <s v="Data corruption"/>
    <s v="Backup failure"/>
    <s v="Failure to validate backup integrity leads to corrupted recovery points, preventing restoration after system failure."/>
    <n v="3"/>
    <n v="4"/>
    <n v="12"/>
    <x v="1"/>
    <s v="Regular backups"/>
    <s v="Mitigation"/>
    <s v="Verify backup integrity, offline storage"/>
    <x v="2"/>
    <n v="1"/>
    <n v="3"/>
    <n v="3"/>
    <x v="1"/>
    <s v="Closed"/>
  </r>
  <r>
    <x v="9"/>
    <s v="Mobile Devices"/>
    <s v="Loss/theft"/>
    <s v="Unsecured mobile"/>
    <s v="Lost or stolen mobile device without encryption exposes corporate email and cached files"/>
    <n v="3"/>
    <n v="3"/>
    <n v="9"/>
    <x v="1"/>
    <s v="Mobile Device Policy"/>
    <s v="Mitigation"/>
    <s v="Full disk encryption, remote wipe"/>
    <x v="2"/>
    <n v="1"/>
    <n v="2"/>
    <n v="2"/>
    <x v="1"/>
    <s v="Closed"/>
  </r>
  <r>
    <x v="10"/>
    <s v="Workstations"/>
    <s v="Unauthorized software installation"/>
    <s v="Lack of endpoint controls"/>
    <s v="Users install unauthorized software introducing malware or data exfiltration risk."/>
    <n v="3"/>
    <n v="3"/>
    <n v="9"/>
    <x v="1"/>
    <s v="Endpoint protection"/>
    <s v="Mitigation "/>
    <s v="Application whitelisting"/>
    <x v="2"/>
    <n v="1"/>
    <n v="2"/>
    <n v="2"/>
    <x v="1"/>
    <s v="Open"/>
  </r>
  <r>
    <x v="11"/>
    <s v="Network Infrastructure"/>
    <s v="Unauthorized access"/>
    <s v="Weak network segmentation"/>
    <s v="Flat network architecture allows an attacker who compromises one host to move laterally across internal systems."/>
    <n v="3"/>
    <n v="4"/>
    <n v="12"/>
    <x v="1"/>
    <s v="Firewalls, VLANs"/>
    <s v="Mitigation"/>
    <s v="Network segmentation review, NAC"/>
    <x v="2"/>
    <n v="2"/>
    <n v="3"/>
    <n v="6"/>
    <x v="0"/>
    <s v="Open"/>
  </r>
  <r>
    <x v="12"/>
    <s v="Corporate Website"/>
    <s v="Defacement / hacking"/>
    <s v="Outdated CMS"/>
    <s v="Attacker exploits outdated CMS to deface site or inject malicious code"/>
    <n v="4"/>
    <n v="3"/>
    <n v="12"/>
    <x v="1"/>
    <s v="None Applied"/>
    <s v="Mitigation"/>
    <s v="Regular patching, WAF"/>
    <x v="2"/>
    <n v="2"/>
    <n v="3"/>
    <n v="6"/>
    <x v="0"/>
    <s v="Open"/>
  </r>
  <r>
    <x v="13"/>
    <s v="Payroll System"/>
    <s v="Data manipulation"/>
    <s v="Weak internal controls"/>
    <s v="Insufficient approval workflows allow unauthorized modification of payroll records, enabling fraud."/>
    <n v="3"/>
    <n v="4"/>
    <n v="12"/>
    <x v="1"/>
    <s v="Segregation of duties"/>
    <s v="Mitigation"/>
    <s v="Audit logging, workf1 approvals"/>
    <x v="0"/>
    <n v="1"/>
    <n v="3"/>
    <n v="3"/>
    <x v="1"/>
    <s v="Open"/>
  </r>
  <r>
    <x v="14"/>
    <s v="ATM Network"/>
    <s v="Skimming / Physical Tampering"/>
    <s v="Limited Physical Surveillance"/>
    <s v="An attacker installs a skimming device on a low-traffic ATM located in a remote area, capturing card data before detection."/>
    <n v="2"/>
    <n v="3"/>
    <n v="6"/>
    <x v="2"/>
    <s v="None Applied"/>
    <s v="Acceptance"/>
    <s v="Risk formally accepted by Risk Committee; periodic inspection maintained."/>
    <x v="0"/>
    <n v="2"/>
    <n v="3"/>
    <n v="6"/>
    <x v="0"/>
    <s v="Closed"/>
  </r>
  <r>
    <x v="15"/>
    <s v="Passwords"/>
    <s v="Credential compromise"/>
    <s v="Weak passwords"/>
    <s v="Weak password complexity enables brute-force or credential stuffing attacks leading to account takeover."/>
    <n v="4"/>
    <n v="3"/>
    <n v="12"/>
    <x v="1"/>
    <s v="Password Policy"/>
    <s v="Mitigation"/>
    <s v="Strong password enforcement, MFA"/>
    <x v="2"/>
    <n v="2"/>
    <n v="2"/>
    <n v="4"/>
    <x v="1"/>
    <s v="Open"/>
  </r>
  <r>
    <x v="16"/>
    <s v="Core Banking Platform"/>
    <s v="Major System Failure"/>
    <s v="Third-Party Hosting Provider"/>
    <s v="Cloud hosting provider outage disrupts access to core banking services, affecting transactions and customer access."/>
    <n v="3"/>
    <n v="4"/>
    <n v="12"/>
    <x v="1"/>
    <s v="None Applied"/>
    <s v="Transfer"/>
    <s v="SLA with financial penalties, Contractual liability clauses, Cyber insurance coverage, Multi-region redundancy "/>
    <x v="2"/>
    <n v="2"/>
    <n v="3"/>
    <n v="6"/>
    <x v="0"/>
    <s v="Open"/>
  </r>
  <r>
    <x v="17"/>
    <s v="Business Continuity Plan"/>
    <s v="Inadequate recovery"/>
    <s v="Outdated BCP"/>
    <s v="Outdated continuity documentation results in ineffective recovery during major disruption."/>
    <n v="3"/>
    <n v="4"/>
    <n v="12"/>
    <x v="1"/>
    <s v="BCP documented"/>
    <s v="Mitigation"/>
    <s v="Annual testing, BCP update"/>
    <x v="5"/>
    <n v="2"/>
    <n v="3"/>
    <n v="6"/>
    <x v="0"/>
    <s v="Open"/>
  </r>
  <r>
    <x v="18"/>
    <s v="Data in Transit"/>
    <s v="Interception"/>
    <s v="Unencrypted communication"/>
    <s v="Data intercepted over insecure channel."/>
    <n v="3"/>
    <n v="4"/>
    <n v="12"/>
    <x v="1"/>
    <s v="VPN, TLS encryption"/>
    <s v="Mitigation"/>
    <s v="End-to-end encryption"/>
    <x v="2"/>
    <n v="1"/>
    <n v="3"/>
    <n v="3"/>
    <x v="1"/>
    <s v="Closed"/>
  </r>
  <r>
    <x v="19"/>
    <s v="Cloud Backup"/>
    <s v="Unauthorized access"/>
    <s v="Mismanaged keys"/>
    <s v="Improper cryptographic key management allows attackers to decrypt stored cloud backup data."/>
    <n v="3"/>
    <n v="4"/>
    <n v="12"/>
    <x v="1"/>
    <s v="None Applied"/>
    <s v="Mitigation"/>
    <s v="Rotate keys, restrict access"/>
    <x v="2"/>
    <n v="2"/>
    <n v="3"/>
    <n v="6"/>
    <x v="0"/>
    <s v="Open"/>
  </r>
  <r>
    <x v="20"/>
    <s v="Vendor Support"/>
    <s v="Social engineering attack"/>
    <s v="Human error"/>
    <s v="Support staff tricked into disclosing credentials or resetting accounts for attackers."/>
    <n v="3"/>
    <n v="3"/>
    <n v="9"/>
    <x v="1"/>
    <s v="NDA, contractual obligations"/>
    <s v="Mitigation "/>
    <s v="Security awareness for vendors"/>
    <x v="4"/>
    <n v="2"/>
    <n v="2"/>
    <n v="4"/>
    <x v="1"/>
    <s v="Open"/>
  </r>
  <r>
    <x v="21"/>
    <s v="Internal Policies"/>
    <s v="Non-compliance"/>
    <s v="Lack of staff awareness"/>
    <s v="Employees fail to follow documented security policies due to lack of awareness, increasing exposure to operational and regulatory risk."/>
    <n v="3"/>
    <n v="3"/>
    <n v="9"/>
    <x v="1"/>
    <s v="Training programs"/>
    <s v="Mitigation"/>
    <s v="Mandatory annual awareness"/>
    <x v="6"/>
    <n v="2"/>
    <n v="2"/>
    <n v="4"/>
    <x v="1"/>
    <s v="Open"/>
  </r>
  <r>
    <x v="22"/>
    <s v="Internal Audit"/>
    <s v="Audit failure"/>
    <s v="Insufficient documentation"/>
    <s v="Incomplete documentation results in failed compliance audit, triggering regulatory penalties."/>
    <n v="2"/>
    <n v="3"/>
    <n v="6"/>
    <x v="2"/>
    <s v="ISMS documentation"/>
    <s v="Mitigation"/>
    <s v="Audit simulations"/>
    <x v="7"/>
    <n v="1"/>
    <n v="2"/>
    <n v="2"/>
    <x v="1"/>
    <s v="Closed"/>
  </r>
  <r>
    <x v="23"/>
    <s v="SaaS Applications"/>
    <s v="Data breach"/>
    <s v="Weak vendor SLA"/>
    <s v="SaaS provider security failure exposes stored corporate data."/>
    <n v="3"/>
    <n v="4"/>
    <n v="12"/>
    <x v="1"/>
    <s v="SaaS policy"/>
    <s v="Transfer"/>
    <s v="Vendor review &amp; penetration testing"/>
    <x v="2"/>
    <n v="3"/>
    <n v="3"/>
    <n v="9"/>
    <x v="2"/>
    <s v="Open"/>
  </r>
  <r>
    <x v="24"/>
    <s v="Financial Reporting"/>
    <s v="Fraud"/>
    <s v="Lack of segregation of duties"/>
    <s v="Single individual controls report preparation and approval, enabling financial manipulation without detection."/>
    <n v="3"/>
    <n v="4"/>
    <n v="12"/>
    <x v="1"/>
    <s v="Internal controls"/>
    <s v="Mitigation + Transfer"/>
    <s v="Regular audits, approval workf1s"/>
    <x v="0"/>
    <n v="1"/>
    <n v="3"/>
    <n v="3"/>
    <x v="1"/>
    <s v="Open"/>
  </r>
  <r>
    <x v="25"/>
    <s v="System Logs"/>
    <s v="Tampering"/>
    <s v="Insufficient logging"/>
    <s v="Attacker deletes or modifies logs to conceal malicious activity."/>
    <n v="3"/>
    <n v="3"/>
    <n v="9"/>
    <x v="1"/>
    <s v="Logging policy"/>
    <s v="Mitigation"/>
    <s v="Centralized SIEM, log integrity"/>
    <x v="2"/>
    <n v="1"/>
    <n v="2"/>
    <n v="2"/>
    <x v="1"/>
    <s v="Open"/>
  </r>
  <r>
    <x v="26"/>
    <s v="Remote Working"/>
    <s v="Unauthorized access"/>
    <s v="Home network vulnerabilities"/>
    <s v="Compromised home routers allow interception of corporate traffic or credential theft."/>
    <n v="3"/>
    <n v="3"/>
    <n v="9"/>
    <x v="1"/>
    <s v="Remote Working Policy"/>
    <s v="Mitigation"/>
    <s v="VPN mandatory, endpoint security"/>
    <x v="2"/>
    <n v="2"/>
    <n v="2"/>
    <n v="4"/>
    <x v="1"/>
    <s v="Open"/>
  </r>
  <r>
    <x v="27"/>
    <s v="Email System"/>
    <s v="Ransomware"/>
    <s v="Malicious attachments"/>
    <s v="User opens a malicious attachment delivered via phishing email, leading to ransomware execution that encrypts file shares and disrupts operations."/>
    <n v="4"/>
    <n v="4"/>
    <n v="16"/>
    <x v="0"/>
    <s v="Spam filtering"/>
    <s v="Mitigation"/>
    <s v="Attachment scanning, user training"/>
    <x v="2"/>
    <n v="2"/>
    <n v="3"/>
    <n v="6"/>
    <x v="0"/>
    <s v="Open"/>
  </r>
  <r>
    <x v="28"/>
    <s v="Regulatory Data"/>
    <s v="Non-compliance"/>
    <s v="Inadequate controls"/>
    <s v="Failure to implement required compliance safeguards results in regulatory fines and legal liability."/>
    <n v="3"/>
    <n v="4"/>
    <n v="12"/>
    <x v="1"/>
    <s v="Data Protection Policy"/>
    <s v="Mitigation + Transfer"/>
    <s v="Compliance audits, training"/>
    <x v="8"/>
    <n v="2"/>
    <n v="3"/>
    <n v="6"/>
    <x v="0"/>
    <s v="Open"/>
  </r>
  <r>
    <x v="29"/>
    <s v="System Admin Accounts"/>
    <s v="Privilege abuse"/>
    <s v="No monitoring"/>
    <s v="Privileged user abuses elevated access to manipulate or exfiltrate sensitive data."/>
    <n v="3"/>
    <n v="4"/>
    <n v="12"/>
    <x v="1"/>
    <s v="Access control, MFA"/>
    <s v="Mitigation"/>
    <s v="Periodic review, logging"/>
    <x v="2"/>
    <n v="2"/>
    <n v="3"/>
    <n v="6"/>
    <x v="0"/>
    <s v="Open"/>
  </r>
  <r>
    <x v="30"/>
    <s v="Online Banking Portal"/>
    <s v="Credential Stuffing"/>
    <s v="Weak Password Reuse by Customers"/>
    <s v="Attackers use breached credential databases to attempt large-scale login attempts against customer accounts."/>
    <n v="4"/>
    <n v="4"/>
    <n v="16"/>
    <x v="0"/>
    <s v="None Applied"/>
    <s v="Mitigation"/>
    <s v="Mandatory MFA for all customers, Behavioral anomaly detection, Rate limiting + bot protection"/>
    <x v="2"/>
    <n v="2"/>
    <n v="3"/>
    <n v="6"/>
    <x v="0"/>
    <s v="Open"/>
  </r>
  <r>
    <x v="31"/>
    <s v="Network Equipment"/>
    <s v="Configuration errors"/>
    <s v="Lack of change control"/>
    <s v="Unreviewed configuration changes introduce routing instability or security gaps, leading to outages or exposure."/>
    <n v="3"/>
    <n v="3"/>
    <n v="9"/>
    <x v="1"/>
    <s v="Change management"/>
    <s v="Mitigation"/>
    <s v="Configuration review, automated backups"/>
    <x v="2"/>
    <n v="1"/>
    <n v="2"/>
    <n v="2"/>
    <x v="1"/>
    <s v="Closed"/>
  </r>
  <r>
    <x v="32"/>
    <s v="APIs"/>
    <s v="Data leakage"/>
    <s v="Weak authentication"/>
    <s v="Weak API authentication allows unauthorized actors to access sensitive data through exposed endpoints, resulting in confidential information disclosure."/>
    <n v="4"/>
    <n v="4"/>
    <n v="16"/>
    <x v="0"/>
    <s v="None Applied"/>
    <s v="Mitigation"/>
    <s v="OAuth2 / token-based auth, monitoring"/>
    <x v="2"/>
    <n v="2"/>
    <n v="3"/>
    <n v="6"/>
    <x v="0"/>
    <s v="Open"/>
  </r>
  <r>
    <x v="33"/>
    <s v="Incident Response"/>
    <s v="Delayed response"/>
    <s v="No defined procedure"/>
    <s v="Security incident occurs but lack of documented escalation procedure delays containment, increasing damage."/>
    <n v="3"/>
    <n v="3"/>
    <n v="9"/>
    <x v="1"/>
    <s v="IR Policy"/>
    <s v="Mitigation"/>
    <s v="Tabletop exercises, incident drills"/>
    <x v="5"/>
    <n v="2"/>
    <n v="2"/>
    <n v="4"/>
    <x v="1"/>
    <s v="Open"/>
  </r>
  <r>
    <x v="34"/>
    <s v="Data Classification"/>
    <s v="Misclassification"/>
    <s v="Staff unaware"/>
    <s v="Sensitive data mislabeled as public leads to exposure"/>
    <n v="3"/>
    <n v="3"/>
    <n v="9"/>
    <x v="1"/>
    <s v="Information Classification Policy"/>
    <s v="Mitigation"/>
    <s v="Training &amp; monitoring"/>
    <x v="9"/>
    <n v="2"/>
    <n v="2"/>
    <n v="4"/>
    <x v="1"/>
    <s v="Open"/>
  </r>
  <r>
    <x v="35"/>
    <s v="Encryption Keys"/>
    <s v="Loss / compromise"/>
    <s v="Weak key management"/>
    <s v="Poor key lifecycle management results in exposure or loss of cryptographic keys, rendering encrypted data readable or unrecoverable."/>
    <n v="3"/>
    <n v="4"/>
    <n v="12"/>
    <x v="1"/>
    <s v="None Applied"/>
    <s v="Mitigation"/>
    <s v="Centralized key vault, rotation"/>
    <x v="2"/>
    <n v="1"/>
    <n v="4"/>
    <n v="4"/>
    <x v="1"/>
    <s v="Open"/>
  </r>
  <r>
    <x v="36"/>
    <s v="End-of-Life Devices"/>
    <s v="Unauthorized access"/>
    <s v="Not wiped properly"/>
    <s v="Retired laptops or servers sold or disposed of without secure wiping expose residual sensitive data."/>
    <n v="3"/>
    <n v="3"/>
    <n v="9"/>
    <x v="1"/>
    <s v="Asset Disposal Policy"/>
    <s v="Mitigation"/>
    <s v="Secure wiping, inventory"/>
    <x v="2"/>
    <n v="1"/>
    <n v="2"/>
    <n v="2"/>
    <x v="1"/>
    <s v="Closed"/>
  </r>
  <r>
    <x v="37"/>
    <s v="Cloud Collaboration Tools"/>
    <s v="Accidental disclosure"/>
    <s v="User error"/>
    <s v="Users mistakenly share confidential documents publicly via cloud sharing links."/>
    <n v="4"/>
    <n v="3"/>
    <n v="12"/>
    <x v="1"/>
    <s v="Access control &amp; policy"/>
    <s v="Mitigation"/>
    <s v="User training, DLP tools"/>
    <x v="2"/>
    <n v="2"/>
    <n v="2"/>
    <n v="4"/>
    <x v="1"/>
    <s v="Open"/>
  </r>
  <r>
    <x v="38"/>
    <s v="IT Change Management"/>
    <s v="System outages"/>
    <s v="Unauthorized changes"/>
    <s v="Unapproved system change causes service disruption affecting production systems."/>
    <n v="3"/>
    <n v="3"/>
    <n v="9"/>
    <x v="1"/>
    <s v="Change approval"/>
    <s v="Mitigation"/>
    <s v="Formal review, rollback procedures"/>
    <x v="2"/>
    <n v="2"/>
    <n v="2"/>
    <n v="4"/>
    <x v="1"/>
    <s v="Closed"/>
  </r>
  <r>
    <x v="39"/>
    <s v="Vendor Onboarding"/>
    <s v="Weak security posture"/>
    <s v="No vetting"/>
    <s v="Onboarding insecure vendor introduces supply-chain risk."/>
    <n v="5"/>
    <n v="3"/>
    <n v="15"/>
    <x v="0"/>
    <s v="Supplier Security Policy"/>
    <s v="Mitigation"/>
    <s v="Pre-contract risk assessment"/>
    <x v="4"/>
    <n v="2"/>
    <n v="2"/>
    <n v="4"/>
    <x v="1"/>
    <s v="Open"/>
  </r>
  <r>
    <x v="40"/>
    <s v="Mobile App"/>
    <s v="Data leakage"/>
    <s v="Insecure coding"/>
    <s v="Improper input validation or insecure API calls in the mobile application expose sensitive user data to unauthorized parties."/>
    <n v="3"/>
    <n v="4"/>
    <n v="12"/>
    <x v="1"/>
    <s v="None Applied"/>
    <s v="Mitigation"/>
    <s v="Code review, secure development training"/>
    <x v="2"/>
    <n v="2"/>
    <n v="3"/>
    <n v="6"/>
    <x v="0"/>
    <s v="Open"/>
  </r>
  <r>
    <x v="41"/>
    <s v="Website"/>
    <s v="DoS / DDoS attack"/>
    <s v="Limited mitigation"/>
    <s v="Distributed denial-of-service attack overwhelms website, causing downtime and revenue loss."/>
    <n v="4"/>
    <n v="3"/>
    <n v="12"/>
    <x v="1"/>
    <s v="Firewall, rate limiting"/>
    <s v="Mitigation + Transfer"/>
    <s v="Anti-DDoS services"/>
    <x v="2"/>
    <n v="2"/>
    <n v="2"/>
    <n v="4"/>
    <x v="1"/>
    <s v="Open"/>
  </r>
  <r>
    <x v="42"/>
    <s v="Internal Chat / Collaboration"/>
    <s v="Data leakage"/>
    <s v="No encryption"/>
    <s v="Internal chat messages containing sensitive information are intercepted or accessed by unauthorized users."/>
    <n v="3"/>
    <n v="3"/>
    <n v="9"/>
    <x v="1"/>
    <s v="None Applied"/>
    <s v="Mitigation"/>
    <s v="Encrypt messages, monitoring"/>
    <x v="2"/>
    <n v="1"/>
    <n v="2"/>
    <n v="2"/>
    <x v="1"/>
    <s v="Closed"/>
  </r>
  <r>
    <x v="43"/>
    <s v="Printing / Scanning Devices"/>
    <s v="Confidential data exposure"/>
    <s v="No access controls"/>
    <s v="Unsecured print queues allow unauthorized retrieval of confidential printed documents."/>
    <n v="2"/>
    <n v="3"/>
    <n v="6"/>
    <x v="2"/>
    <s v="None Applied"/>
    <s v="Mitigation"/>
    <s v="Access restrictions, audit logs"/>
    <x v="2"/>
    <n v="1"/>
    <n v="2"/>
    <n v="2"/>
    <x v="1"/>
    <s v="Closed"/>
  </r>
  <r>
    <x v="44"/>
    <s v="Software Deployment"/>
    <s v="Unauthorized software"/>
    <s v="No approval process"/>
    <s v="Employees install unauthorized applications introducing malware or licensing violations."/>
    <n v="3"/>
    <n v="3"/>
    <n v="9"/>
    <x v="1"/>
    <s v="Patch &amp; Deployment Policy"/>
    <s v="Mitigation"/>
    <s v="Enforce approval workf1"/>
    <x v="2"/>
    <n v="1"/>
    <n v="2"/>
    <n v="2"/>
    <x v="1"/>
    <s v="Closed"/>
  </r>
  <r>
    <x v="45"/>
    <s v="Website"/>
    <s v="Unauthorized edits"/>
    <s v="Weak content management permissions"/>
    <s v="Improper role configuration allows unauthorized users to modify website content, potentially leading to defacement or malicious script injection."/>
    <n v="4"/>
    <n v="3"/>
    <n v="12"/>
    <x v="1"/>
    <s v="None Applied"/>
    <s v="Mitigation "/>
    <s v="Enable 2FA on CMS, monitor edits regularly"/>
    <x v="2"/>
    <n v="2"/>
    <n v="2"/>
    <n v="4"/>
    <x v="1"/>
    <s v="Ope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I17:M29" firstHeaderRow="1" firstDataRow="2" firstDataCol="1"/>
  <pivotFields count="1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1"/>
        <item m="1" x="3"/>
        <item x="2"/>
        <item t="default"/>
      </items>
    </pivotField>
    <pivotField showAll="0"/>
    <pivotField showAll="0"/>
    <pivotField showAll="0"/>
    <pivotField axis="axisRow" showAll="0">
      <items count="11">
        <item x="5"/>
        <item x="8"/>
        <item x="0"/>
        <item x="3"/>
        <item x="7"/>
        <item x="6"/>
        <item x="2"/>
        <item x="9"/>
        <item x="1"/>
        <item x="4"/>
        <item t="default"/>
      </items>
    </pivotField>
    <pivotField showAll="0"/>
    <pivotField showAll="0"/>
    <pivotField showAll="0"/>
    <pivotField axis="axisCol" showAll="0">
      <items count="4">
        <item x="2"/>
        <item x="1"/>
        <item x="0"/>
        <item t="default"/>
      </items>
    </pivotField>
    <pivotField showAll="0"/>
  </pivotFields>
  <rowFields count="1">
    <field x="1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6"/>
  </colFields>
  <colItems count="4">
    <i>
      <x/>
    </i>
    <i>
      <x v="1"/>
    </i>
    <i>
      <x v="2"/>
    </i>
    <i t="grand">
      <x/>
    </i>
  </colItems>
  <dataFields count="1">
    <dataField name="Sum of ID" fld="0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6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B17:F29" firstHeaderRow="1" firstDataRow="2" firstDataCol="1"/>
  <pivotFields count="18">
    <pivotField dataField="1" showAll="0"/>
    <pivotField showAll="0"/>
    <pivotField showAll="0"/>
    <pivotField showAll="0"/>
    <pivotField showAll="0" defaultSubtotal="0"/>
    <pivotField showAll="0" defaultSubtotal="0"/>
    <pivotField showAll="0"/>
    <pivotField showAll="0" defaultSubtotal="0"/>
    <pivotField axis="axisCol" showAll="0">
      <items count="5">
        <item x="1"/>
        <item m="1" x="3"/>
        <item x="2"/>
        <item x="0"/>
        <item t="default"/>
      </items>
    </pivotField>
    <pivotField showAll="0"/>
    <pivotField showAll="0" defaultSubtotal="0"/>
    <pivotField showAll="0" defaultSubtotal="0"/>
    <pivotField axis="axisRow" showAll="0">
      <items count="11">
        <item x="5"/>
        <item x="8"/>
        <item x="0"/>
        <item x="3"/>
        <item x="7"/>
        <item x="6"/>
        <item x="2"/>
        <item x="9"/>
        <item x="1"/>
        <item x="4"/>
        <item t="default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1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8"/>
  </colFields>
  <colItems count="4">
    <i>
      <x/>
    </i>
    <i>
      <x v="2"/>
    </i>
    <i>
      <x v="3"/>
    </i>
    <i t="grand">
      <x/>
    </i>
  </colItems>
  <dataFields count="1">
    <dataField name="Count of ID" fld="0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B11:B12" firstHeaderRow="1" firstDataRow="1" firstDataCol="0"/>
  <pivotFields count="18">
    <pivotField dataField="1" showAll="0"/>
    <pivotField showAll="0"/>
    <pivotField showAll="0"/>
    <pivotField showAll="0"/>
    <pivotField showAll="0" defaultSubtotal="0"/>
    <pivotField showAll="0" defaultSubtotal="0"/>
    <pivotField showAll="0"/>
    <pivotField showAll="0" defaultSubtotal="0"/>
    <pivotField showAll="0"/>
    <pivotField showAll="0"/>
    <pivotField showAll="0" defaultSubtotal="0"/>
    <pivotField showAll="0" defaultSubtotal="0"/>
    <pivotField showAl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Items count="1">
    <i/>
  </rowItems>
  <colItems count="1">
    <i/>
  </colItems>
  <dataFields count="1">
    <dataField name="Count of ID" fld="0" subtotal="count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B4:C8" firstHeaderRow="1" firstDataRow="1" firstDataCol="1"/>
  <pivotFields count="18">
    <pivotField dataField="1" showAll="0"/>
    <pivotField showAll="0"/>
    <pivotField showAll="0"/>
    <pivotField showAll="0"/>
    <pivotField showAll="0" defaultSubtotal="0"/>
    <pivotField showAll="0" defaultSubtotal="0"/>
    <pivotField showAll="0"/>
    <pivotField showAll="0" defaultSubtotal="0"/>
    <pivotField axis="axisRow" showAll="0">
      <items count="5">
        <item x="1"/>
        <item m="1" x="3"/>
        <item x="2"/>
        <item x="0"/>
        <item t="default"/>
      </items>
    </pivotField>
    <pivotField showAll="0"/>
    <pivotField showAll="0" defaultSubtotal="0"/>
    <pivotField showAll="0" defaultSubtotal="0"/>
    <pivotField showAl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8"/>
  </rowFields>
  <rowItems count="4">
    <i>
      <x/>
    </i>
    <i>
      <x v="2"/>
    </i>
    <i>
      <x v="3"/>
    </i>
    <i t="grand">
      <x/>
    </i>
  </rowItems>
  <colItems count="1">
    <i/>
  </colItems>
  <dataFields count="1">
    <dataField name="Count of ID" fld="0" subtotal="count" baseField="6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P4:Q8" firstHeaderRow="1" firstDataRow="1" firstDataCol="1"/>
  <pivotFields count="18">
    <pivotField dataField="1" showAll="0">
      <items count="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</pivotFields>
  <rowFields count="1">
    <field x="1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ID" fld="0" subtotal="count" baseField="0" baseItem="904912352"/>
  </dataFields>
  <chartFormats count="9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R47" totalsRowShown="0" headerRowDxfId="19" dataDxfId="18">
  <autoFilter ref="A1:R47"/>
  <sortState ref="A2:R44">
    <sortCondition ref="A1:A44"/>
  </sortState>
  <tableColumns count="18">
    <tableColumn id="1" name="ID" dataDxfId="17"/>
    <tableColumn id="2" name="Asset / Process" dataDxfId="16"/>
    <tableColumn id="3" name="Threat" dataDxfId="15"/>
    <tableColumn id="4" name="Vulnerability" dataDxfId="14"/>
    <tableColumn id="13" name="Risk Scenario" dataDxfId="13"/>
    <tableColumn id="5" name="Liklihood" dataDxfId="12"/>
    <tableColumn id="6" name="Impact" dataDxfId="11"/>
    <tableColumn id="7" name="Risk Score" dataDxfId="10" dataCellStyle="Normal">
      <calculatedColumnFormula>SUM(Table1[[#This Row],[Liklihood]]*Table1[[#This Row],[Impact]])</calculatedColumnFormula>
    </tableColumn>
    <tableColumn id="17" name="Risk Level" dataDxfId="9" dataCellStyle="Normal">
      <calculatedColumnFormula>IF(Table1[[#This Row],[Risk Score]]&lt;=4,"Low",
 IF(Table1[[#This Row],[Risk Score]]&lt;=8,"Medium",
 IF(Table1[[#This Row],[Risk Score]]&lt;=12,"High",
 "Critical")))</calculatedColumnFormula>
    </tableColumn>
    <tableColumn id="8" name="Existing Controls" dataDxfId="8"/>
    <tableColumn id="14" name="Treatment Startegy" dataDxfId="7"/>
    <tableColumn id="9" name="Treatment " dataDxfId="6"/>
    <tableColumn id="10" name="Risk Owner" dataDxfId="5"/>
    <tableColumn id="11" name="Residual Likelihood " dataDxfId="4"/>
    <tableColumn id="16" name="Residual Impact" dataDxfId="3"/>
    <tableColumn id="18" name="Residual Risk Score" dataDxfId="2">
      <calculatedColumnFormula>SUM(Table1[[#This Row],[Residual Likelihood ]]*Table1[[#This Row],[Residual Impact]])</calculatedColumnFormula>
    </tableColumn>
    <tableColumn id="20" name="Residual Risk Level" dataDxfId="1">
      <calculatedColumnFormula>IF(Table1[[#This Row],[Residual Risk Score]]&lt;=4,"Low",
 IF(Table1[[#This Row],[Residual Risk Score]]&lt;=8,"Medium",
 IF(Table1[[#This Row],[Residual Risk Score]]&lt;=12,"High",
 "Critical")))</calculatedColumnFormula>
    </tableColumn>
    <tableColumn id="21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B4" workbookViewId="0">
      <selection activeCell="T15" sqref="T15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7"/>
  <sheetViews>
    <sheetView tabSelected="1" topLeftCell="C38" workbookViewId="0">
      <selection activeCell="K3" sqref="K3"/>
    </sheetView>
  </sheetViews>
  <sheetFormatPr defaultRowHeight="14.4" x14ac:dyDescent="0.3"/>
  <cols>
    <col min="1" max="1" width="7.21875" style="7" customWidth="1"/>
    <col min="2" max="2" width="23.109375" style="6" customWidth="1"/>
    <col min="3" max="3" width="19.77734375" customWidth="1"/>
    <col min="4" max="4" width="16.44140625" customWidth="1"/>
    <col min="5" max="5" width="46.6640625" customWidth="1"/>
    <col min="6" max="6" width="8.88671875" style="8"/>
    <col min="7" max="7" width="14.44140625" style="8" customWidth="1"/>
    <col min="8" max="8" width="15.88671875" style="12" customWidth="1"/>
    <col min="9" max="9" width="19.5546875" style="12" customWidth="1"/>
    <col min="10" max="10" width="19.5546875" style="8" customWidth="1"/>
    <col min="11" max="11" width="23.77734375" customWidth="1"/>
    <col min="12" max="12" width="29.5546875" customWidth="1"/>
    <col min="13" max="13" width="25.21875" customWidth="1"/>
    <col min="14" max="14" width="13.33203125" customWidth="1"/>
    <col min="15" max="15" width="14.21875" customWidth="1"/>
    <col min="16" max="16" width="13.6640625" customWidth="1"/>
    <col min="17" max="17" width="13.88671875" customWidth="1"/>
  </cols>
  <sheetData>
    <row r="1" spans="1:18" s="8" customFormat="1" ht="32.4" customHeight="1" x14ac:dyDescent="0.3">
      <c r="A1" s="2" t="s">
        <v>0</v>
      </c>
      <c r="B1" s="2" t="s">
        <v>14</v>
      </c>
      <c r="C1" s="2" t="s">
        <v>1</v>
      </c>
      <c r="D1" s="2" t="s">
        <v>2</v>
      </c>
      <c r="E1" s="2" t="s">
        <v>216</v>
      </c>
      <c r="F1" s="2" t="s">
        <v>234</v>
      </c>
      <c r="G1" s="2" t="s">
        <v>3</v>
      </c>
      <c r="H1" s="2" t="s">
        <v>220</v>
      </c>
      <c r="I1" s="12" t="s">
        <v>4</v>
      </c>
      <c r="J1" s="2" t="s">
        <v>5</v>
      </c>
      <c r="K1" s="2" t="s">
        <v>221</v>
      </c>
      <c r="L1" s="2" t="s">
        <v>222</v>
      </c>
      <c r="M1" s="2" t="s">
        <v>6</v>
      </c>
      <c r="N1" s="2" t="s">
        <v>224</v>
      </c>
      <c r="O1" s="11" t="s">
        <v>223</v>
      </c>
      <c r="P1" s="11" t="s">
        <v>225</v>
      </c>
      <c r="Q1" s="11" t="s">
        <v>226</v>
      </c>
      <c r="R1" s="11" t="s">
        <v>227</v>
      </c>
    </row>
    <row r="2" spans="1:18" ht="54" customHeight="1" x14ac:dyDescent="0.3">
      <c r="A2" s="4">
        <v>1</v>
      </c>
      <c r="B2" s="3" t="s">
        <v>7</v>
      </c>
      <c r="C2" s="3" t="s">
        <v>15</v>
      </c>
      <c r="D2" s="3" t="s">
        <v>16</v>
      </c>
      <c r="E2" s="3" t="s">
        <v>239</v>
      </c>
      <c r="F2" s="1">
        <v>4</v>
      </c>
      <c r="G2" s="1">
        <v>4</v>
      </c>
      <c r="H2" s="12">
        <f>SUM(Table1[[#This Row],[Liklihood]]*Table1[[#This Row],[Impact]])</f>
        <v>16</v>
      </c>
      <c r="I2" s="12" t="str">
        <f>IF(Table1[[#This Row],[Risk Score]]&lt;=4,"Low",
 IF(Table1[[#This Row],[Risk Score]]&lt;=8,"Medium",
 IF(Table1[[#This Row],[Risk Score]]&lt;=12,"High",
 "Critical")))</f>
        <v>Critical</v>
      </c>
      <c r="J2" s="1" t="s">
        <v>17</v>
      </c>
      <c r="K2" s="3" t="s">
        <v>294</v>
      </c>
      <c r="L2" s="3" t="s">
        <v>18</v>
      </c>
      <c r="M2" s="3" t="s">
        <v>203</v>
      </c>
      <c r="N2" s="3">
        <v>2</v>
      </c>
      <c r="O2" s="3">
        <v>4</v>
      </c>
      <c r="P2" s="3">
        <f>SUM(Table1[[#This Row],[Residual Likelihood ]]*Table1[[#This Row],[Residual Impact]])</f>
        <v>8</v>
      </c>
      <c r="Q2" s="3" t="str">
        <f>IF(Table1[[#This Row],[Residual Risk Score]]&lt;=4,"Low",
 IF(Table1[[#This Row],[Residual Risk Score]]&lt;=8,"Medium",
 IF(Table1[[#This Row],[Residual Risk Score]]&lt;=12,"High",
 "Critical")))</f>
        <v>Medium</v>
      </c>
      <c r="R2" s="3" t="s">
        <v>230</v>
      </c>
    </row>
    <row r="3" spans="1:18" ht="28.8" x14ac:dyDescent="0.3">
      <c r="A3" s="4">
        <v>2</v>
      </c>
      <c r="B3" s="3" t="s">
        <v>19</v>
      </c>
      <c r="C3" s="3" t="s">
        <v>20</v>
      </c>
      <c r="D3" s="3" t="s">
        <v>21</v>
      </c>
      <c r="E3" s="3" t="s">
        <v>240</v>
      </c>
      <c r="F3" s="1">
        <v>3</v>
      </c>
      <c r="G3" s="1">
        <v>4</v>
      </c>
      <c r="H3" s="12">
        <f>SUM(Table1[[#This Row],[Liklihood]]*Table1[[#This Row],[Impact]])</f>
        <v>12</v>
      </c>
      <c r="I3" s="12" t="str">
        <f>IF(Table1[[#This Row],[Risk Score]]&lt;=4,"Low",
 IF(Table1[[#This Row],[Risk Score]]&lt;=8,"Medium",
 IF(Table1[[#This Row],[Risk Score]]&lt;=12,"High",
 "Critical")))</f>
        <v>High</v>
      </c>
      <c r="J3" s="1" t="s">
        <v>22</v>
      </c>
      <c r="K3" s="3" t="s">
        <v>294</v>
      </c>
      <c r="L3" s="3" t="s">
        <v>23</v>
      </c>
      <c r="M3" s="3" t="s">
        <v>205</v>
      </c>
      <c r="N3" s="3">
        <v>2</v>
      </c>
      <c r="O3" s="3">
        <v>3</v>
      </c>
      <c r="P3" s="3">
        <f>SUM(Table1[[#This Row],[Residual Likelihood ]]*Table1[[#This Row],[Residual Impact]])</f>
        <v>6</v>
      </c>
      <c r="Q3" s="3" t="str">
        <f>IF(Table1[[#This Row],[Residual Risk Score]]&lt;=4,"Low",
 IF(Table1[[#This Row],[Residual Risk Score]]&lt;=8,"Medium",
 IF(Table1[[#This Row],[Residual Risk Score]]&lt;=12,"High",
 "Critical")))</f>
        <v>Medium</v>
      </c>
      <c r="R3" s="3" t="s">
        <v>230</v>
      </c>
    </row>
    <row r="4" spans="1:18" ht="28.8" x14ac:dyDescent="0.3">
      <c r="A4" s="4">
        <v>3</v>
      </c>
      <c r="B4" s="3" t="s">
        <v>24</v>
      </c>
      <c r="C4" s="3" t="s">
        <v>25</v>
      </c>
      <c r="D4" s="3" t="s">
        <v>26</v>
      </c>
      <c r="E4" s="3" t="s">
        <v>273</v>
      </c>
      <c r="F4" s="1">
        <v>4</v>
      </c>
      <c r="G4" s="1">
        <v>3</v>
      </c>
      <c r="H4" s="12">
        <f>SUM(Table1[[#This Row],[Liklihood]]*Table1[[#This Row],[Impact]])</f>
        <v>12</v>
      </c>
      <c r="I4" s="12" t="str">
        <f>IF(Table1[[#This Row],[Risk Score]]&lt;=4,"Low",
 IF(Table1[[#This Row],[Risk Score]]&lt;=8,"Medium",
 IF(Table1[[#This Row],[Risk Score]]&lt;=12,"High",
 "Critical")))</f>
        <v>High</v>
      </c>
      <c r="J4" s="1" t="s">
        <v>27</v>
      </c>
      <c r="K4" s="3" t="s">
        <v>294</v>
      </c>
      <c r="L4" s="3" t="s">
        <v>28</v>
      </c>
      <c r="M4" s="3" t="s">
        <v>204</v>
      </c>
      <c r="N4" s="3">
        <v>2</v>
      </c>
      <c r="O4" s="3">
        <v>2</v>
      </c>
      <c r="P4" s="3">
        <f>SUM(Table1[[#This Row],[Residual Likelihood ]]*Table1[[#This Row],[Residual Impact]])</f>
        <v>4</v>
      </c>
      <c r="Q4" s="3" t="str">
        <f>IF(Table1[[#This Row],[Residual Risk Score]]&lt;=4,"Low",
 IF(Table1[[#This Row],[Residual Risk Score]]&lt;=8,"Medium",
 IF(Table1[[#This Row],[Residual Risk Score]]&lt;=12,"High",
 "Critical")))</f>
        <v>Low</v>
      </c>
      <c r="R4" s="3" t="s">
        <v>230</v>
      </c>
    </row>
    <row r="5" spans="1:18" ht="57.6" x14ac:dyDescent="0.3">
      <c r="A5" s="4">
        <v>4</v>
      </c>
      <c r="B5" s="3" t="s">
        <v>29</v>
      </c>
      <c r="C5" s="3" t="s">
        <v>30</v>
      </c>
      <c r="D5" s="3" t="s">
        <v>31</v>
      </c>
      <c r="E5" s="3" t="s">
        <v>243</v>
      </c>
      <c r="F5" s="1">
        <v>3</v>
      </c>
      <c r="G5" s="1">
        <v>4</v>
      </c>
      <c r="H5" s="12">
        <f>SUM(Table1[[#This Row],[Liklihood]]*Table1[[#This Row],[Impact]])</f>
        <v>12</v>
      </c>
      <c r="I5" s="12" t="str">
        <f>IF(Table1[[#This Row],[Risk Score]]&lt;=4,"Low",
 IF(Table1[[#This Row],[Risk Score]]&lt;=8,"Medium",
 IF(Table1[[#This Row],[Risk Score]]&lt;=12,"High",
 "Critical")))</f>
        <v>High</v>
      </c>
      <c r="J5" s="1" t="s">
        <v>32</v>
      </c>
      <c r="K5" s="3" t="s">
        <v>294</v>
      </c>
      <c r="L5" s="3" t="s">
        <v>33</v>
      </c>
      <c r="M5" s="3" t="s">
        <v>204</v>
      </c>
      <c r="N5" s="3">
        <v>2</v>
      </c>
      <c r="O5" s="3">
        <v>3</v>
      </c>
      <c r="P5" s="3">
        <f>SUM(Table1[[#This Row],[Residual Likelihood ]]*Table1[[#This Row],[Residual Impact]])</f>
        <v>6</v>
      </c>
      <c r="Q5" s="3" t="str">
        <f>IF(Table1[[#This Row],[Residual Risk Score]]&lt;=4,"Low",
 IF(Table1[[#This Row],[Residual Risk Score]]&lt;=8,"Medium",
 IF(Table1[[#This Row],[Residual Risk Score]]&lt;=12,"High",
 "Critical")))</f>
        <v>Medium</v>
      </c>
      <c r="R5" s="3" t="s">
        <v>230</v>
      </c>
    </row>
    <row r="6" spans="1:18" ht="43.2" x14ac:dyDescent="0.3">
      <c r="A6" s="4">
        <v>5</v>
      </c>
      <c r="B6" s="3" t="s">
        <v>34</v>
      </c>
      <c r="C6" s="3" t="s">
        <v>35</v>
      </c>
      <c r="D6" s="3" t="s">
        <v>36</v>
      </c>
      <c r="E6" s="3" t="s">
        <v>268</v>
      </c>
      <c r="F6" s="1">
        <v>4</v>
      </c>
      <c r="G6" s="1">
        <v>4</v>
      </c>
      <c r="H6" s="12">
        <f>SUM(Table1[[#This Row],[Liklihood]]*Table1[[#This Row],[Impact]])</f>
        <v>16</v>
      </c>
      <c r="I6" s="12" t="str">
        <f>IF(Table1[[#This Row],[Risk Score]]&lt;=4,"Low",
 IF(Table1[[#This Row],[Risk Score]]&lt;=8,"Medium",
 IF(Table1[[#This Row],[Risk Score]]&lt;=12,"High",
 "Critical")))</f>
        <v>Critical</v>
      </c>
      <c r="J6" s="1" t="s">
        <v>37</v>
      </c>
      <c r="K6" s="3" t="s">
        <v>294</v>
      </c>
      <c r="L6" s="3" t="s">
        <v>38</v>
      </c>
      <c r="M6" s="3" t="s">
        <v>204</v>
      </c>
      <c r="N6" s="3">
        <v>2</v>
      </c>
      <c r="O6" s="3">
        <v>4</v>
      </c>
      <c r="P6" s="3">
        <f>SUM(Table1[[#This Row],[Residual Likelihood ]]*Table1[[#This Row],[Residual Impact]])</f>
        <v>8</v>
      </c>
      <c r="Q6" s="3" t="str">
        <f>IF(Table1[[#This Row],[Residual Risk Score]]&lt;=4,"Low",
 IF(Table1[[#This Row],[Residual Risk Score]]&lt;=8,"Medium",
 IF(Table1[[#This Row],[Residual Risk Score]]&lt;=12,"High",
 "Critical")))</f>
        <v>Medium</v>
      </c>
      <c r="R6" s="3" t="s">
        <v>230</v>
      </c>
    </row>
    <row r="7" spans="1:18" ht="28.8" x14ac:dyDescent="0.3">
      <c r="A7" s="4">
        <v>6</v>
      </c>
      <c r="B7" s="3" t="s">
        <v>39</v>
      </c>
      <c r="C7" s="3" t="s">
        <v>40</v>
      </c>
      <c r="D7" s="3" t="s">
        <v>41</v>
      </c>
      <c r="E7" s="3" t="s">
        <v>269</v>
      </c>
      <c r="F7" s="1">
        <v>3</v>
      </c>
      <c r="G7" s="1">
        <v>4</v>
      </c>
      <c r="H7" s="12">
        <f>SUM(Table1[[#This Row],[Liklihood]]*Table1[[#This Row],[Impact]])</f>
        <v>12</v>
      </c>
      <c r="I7" s="12" t="str">
        <f>IF(Table1[[#This Row],[Risk Score]]&lt;=4,"Low",
 IF(Table1[[#This Row],[Risk Score]]&lt;=8,"Medium",
 IF(Table1[[#This Row],[Risk Score]]&lt;=12,"High",
 "Critical")))</f>
        <v>High</v>
      </c>
      <c r="J7" s="1" t="s">
        <v>42</v>
      </c>
      <c r="K7" s="3" t="s">
        <v>294</v>
      </c>
      <c r="L7" s="3" t="s">
        <v>43</v>
      </c>
      <c r="M7" s="3" t="s">
        <v>208</v>
      </c>
      <c r="N7" s="3">
        <v>2</v>
      </c>
      <c r="O7" s="3">
        <v>3</v>
      </c>
      <c r="P7" s="3">
        <f>SUM(Table1[[#This Row],[Residual Likelihood ]]*Table1[[#This Row],[Residual Impact]])</f>
        <v>6</v>
      </c>
      <c r="Q7" s="3" t="str">
        <f>IF(Table1[[#This Row],[Residual Risk Score]]&lt;=4,"Low",
 IF(Table1[[#This Row],[Residual Risk Score]]&lt;=8,"Medium",
 IF(Table1[[#This Row],[Residual Risk Score]]&lt;=12,"High",
 "Critical")))</f>
        <v>Medium</v>
      </c>
      <c r="R7" s="3" t="s">
        <v>230</v>
      </c>
    </row>
    <row r="8" spans="1:18" ht="24.6" customHeight="1" x14ac:dyDescent="0.3">
      <c r="A8" s="4">
        <v>7</v>
      </c>
      <c r="B8" s="3" t="s">
        <v>44</v>
      </c>
      <c r="C8" s="3" t="s">
        <v>45</v>
      </c>
      <c r="D8" s="3" t="s">
        <v>46</v>
      </c>
      <c r="E8" s="3" t="s">
        <v>237</v>
      </c>
      <c r="F8" s="1">
        <v>4</v>
      </c>
      <c r="G8" s="1">
        <v>4</v>
      </c>
      <c r="H8" s="12">
        <f>SUM(Table1[[#This Row],[Liklihood]]*Table1[[#This Row],[Impact]])</f>
        <v>16</v>
      </c>
      <c r="I8" s="12" t="str">
        <f>IF(Table1[[#This Row],[Risk Score]]&lt;=4,"Low",
 IF(Table1[[#This Row],[Risk Score]]&lt;=8,"Medium",
 IF(Table1[[#This Row],[Risk Score]]&lt;=12,"High",
 "Critical")))</f>
        <v>Critical</v>
      </c>
      <c r="J8" s="1" t="s">
        <v>228</v>
      </c>
      <c r="K8" s="3" t="s">
        <v>294</v>
      </c>
      <c r="L8" s="3" t="s">
        <v>48</v>
      </c>
      <c r="M8" s="3" t="s">
        <v>204</v>
      </c>
      <c r="N8" s="3">
        <v>2</v>
      </c>
      <c r="O8" s="3">
        <v>3</v>
      </c>
      <c r="P8" s="3">
        <f>SUM(Table1[[#This Row],[Residual Likelihood ]]*Table1[[#This Row],[Residual Impact]])</f>
        <v>6</v>
      </c>
      <c r="Q8" s="3" t="str">
        <f>IF(Table1[[#This Row],[Residual Risk Score]]&lt;=4,"Low",
 IF(Table1[[#This Row],[Residual Risk Score]]&lt;=8,"Medium",
 IF(Table1[[#This Row],[Residual Risk Score]]&lt;=12,"High",
 "Critical")))</f>
        <v>Medium</v>
      </c>
      <c r="R8" s="3" t="s">
        <v>230</v>
      </c>
    </row>
    <row r="9" spans="1:18" ht="28.8" x14ac:dyDescent="0.3">
      <c r="A9" s="4">
        <v>8</v>
      </c>
      <c r="B9" s="3" t="s">
        <v>49</v>
      </c>
      <c r="C9" s="3" t="s">
        <v>50</v>
      </c>
      <c r="D9" s="3" t="s">
        <v>51</v>
      </c>
      <c r="E9" s="3" t="s">
        <v>258</v>
      </c>
      <c r="F9" s="1">
        <v>3</v>
      </c>
      <c r="G9" s="1">
        <v>4</v>
      </c>
      <c r="H9" s="12">
        <f>SUM(Table1[[#This Row],[Liklihood]]*Table1[[#This Row],[Impact]])</f>
        <v>12</v>
      </c>
      <c r="I9" s="12" t="str">
        <f>IF(Table1[[#This Row],[Risk Score]]&lt;=4,"Low",
 IF(Table1[[#This Row],[Risk Score]]&lt;=8,"Medium",
 IF(Table1[[#This Row],[Risk Score]]&lt;=12,"High",
 "Critical")))</f>
        <v>High</v>
      </c>
      <c r="J9" s="1" t="s">
        <v>52</v>
      </c>
      <c r="K9" s="3" t="s">
        <v>295</v>
      </c>
      <c r="L9" s="3" t="s">
        <v>53</v>
      </c>
      <c r="M9" s="3" t="s">
        <v>54</v>
      </c>
      <c r="N9" s="3">
        <v>2</v>
      </c>
      <c r="O9" s="3">
        <v>3</v>
      </c>
      <c r="P9" s="3">
        <f>SUM(Table1[[#This Row],[Residual Likelihood ]]*Table1[[#This Row],[Residual Impact]])</f>
        <v>6</v>
      </c>
      <c r="Q9" s="3" t="str">
        <f>IF(Table1[[#This Row],[Residual Risk Score]]&lt;=4,"Low",
 IF(Table1[[#This Row],[Residual Risk Score]]&lt;=8,"Medium",
 IF(Table1[[#This Row],[Residual Risk Score]]&lt;=12,"High",
 "Critical")))</f>
        <v>Medium</v>
      </c>
      <c r="R9" s="3" t="s">
        <v>230</v>
      </c>
    </row>
    <row r="10" spans="1:18" ht="43.2" x14ac:dyDescent="0.3">
      <c r="A10" s="4">
        <v>9</v>
      </c>
      <c r="B10" s="3" t="s">
        <v>55</v>
      </c>
      <c r="C10" s="3" t="s">
        <v>56</v>
      </c>
      <c r="D10" s="3" t="s">
        <v>57</v>
      </c>
      <c r="E10" s="3" t="s">
        <v>231</v>
      </c>
      <c r="F10" s="1">
        <v>3</v>
      </c>
      <c r="G10" s="1">
        <v>4</v>
      </c>
      <c r="H10" s="12">
        <f>SUM(Table1[[#This Row],[Liklihood]]*Table1[[#This Row],[Impact]])</f>
        <v>12</v>
      </c>
      <c r="I10" s="12" t="str">
        <f>IF(Table1[[#This Row],[Risk Score]]&lt;=4,"Low",
 IF(Table1[[#This Row],[Risk Score]]&lt;=8,"Medium",
 IF(Table1[[#This Row],[Risk Score]]&lt;=12,"High",
 "Critical")))</f>
        <v>High</v>
      </c>
      <c r="J10" s="1" t="s">
        <v>58</v>
      </c>
      <c r="K10" s="3" t="s">
        <v>294</v>
      </c>
      <c r="L10" s="3" t="s">
        <v>59</v>
      </c>
      <c r="M10" s="3" t="s">
        <v>204</v>
      </c>
      <c r="N10" s="3">
        <v>1</v>
      </c>
      <c r="O10" s="3">
        <v>3</v>
      </c>
      <c r="P10" s="3">
        <f>SUM(Table1[[#This Row],[Residual Likelihood ]]*Table1[[#This Row],[Residual Impact]])</f>
        <v>3</v>
      </c>
      <c r="Q10" s="3" t="str">
        <f>IF(Table1[[#This Row],[Residual Risk Score]]&lt;=4,"Low",
 IF(Table1[[#This Row],[Residual Risk Score]]&lt;=8,"Medium",
 IF(Table1[[#This Row],[Residual Risk Score]]&lt;=12,"High",
 "Critical")))</f>
        <v>Low</v>
      </c>
      <c r="R10" s="3" t="s">
        <v>232</v>
      </c>
    </row>
    <row r="11" spans="1:18" ht="28.8" x14ac:dyDescent="0.3">
      <c r="A11" s="4">
        <v>10</v>
      </c>
      <c r="B11" s="3" t="s">
        <v>60</v>
      </c>
      <c r="C11" s="3" t="s">
        <v>61</v>
      </c>
      <c r="D11" s="3" t="s">
        <v>62</v>
      </c>
      <c r="E11" s="3" t="s">
        <v>245</v>
      </c>
      <c r="F11" s="1">
        <v>3</v>
      </c>
      <c r="G11" s="1">
        <v>3</v>
      </c>
      <c r="H11" s="12">
        <f>SUM(Table1[[#This Row],[Liklihood]]*Table1[[#This Row],[Impact]])</f>
        <v>9</v>
      </c>
      <c r="I11" s="12" t="str">
        <f>IF(Table1[[#This Row],[Risk Score]]&lt;=4,"Low",
 IF(Table1[[#This Row],[Risk Score]]&lt;=8,"Medium",
 IF(Table1[[#This Row],[Risk Score]]&lt;=12,"High",
 "Critical")))</f>
        <v>High</v>
      </c>
      <c r="J11" s="1" t="s">
        <v>63</v>
      </c>
      <c r="K11" s="3" t="s">
        <v>294</v>
      </c>
      <c r="L11" s="3" t="s">
        <v>64</v>
      </c>
      <c r="M11" s="3" t="s">
        <v>204</v>
      </c>
      <c r="N11" s="3">
        <v>1</v>
      </c>
      <c r="O11" s="3">
        <v>2</v>
      </c>
      <c r="P11" s="3">
        <f>SUM(Table1[[#This Row],[Residual Likelihood ]]*Table1[[#This Row],[Residual Impact]])</f>
        <v>2</v>
      </c>
      <c r="Q11" s="3" t="str">
        <f>IF(Table1[[#This Row],[Residual Risk Score]]&lt;=4,"Low",
 IF(Table1[[#This Row],[Residual Risk Score]]&lt;=8,"Medium",
 IF(Table1[[#This Row],[Residual Risk Score]]&lt;=12,"High",
 "Critical")))</f>
        <v>Low</v>
      </c>
      <c r="R11" s="3" t="s">
        <v>232</v>
      </c>
    </row>
    <row r="12" spans="1:18" ht="28.8" x14ac:dyDescent="0.3">
      <c r="A12" s="4">
        <v>11</v>
      </c>
      <c r="B12" s="3" t="s">
        <v>65</v>
      </c>
      <c r="C12" s="3" t="s">
        <v>66</v>
      </c>
      <c r="D12" s="3" t="s">
        <v>67</v>
      </c>
      <c r="E12" s="3" t="s">
        <v>262</v>
      </c>
      <c r="F12" s="1">
        <v>3</v>
      </c>
      <c r="G12" s="1">
        <v>3</v>
      </c>
      <c r="H12" s="12">
        <f>SUM(Table1[[#This Row],[Liklihood]]*Table1[[#This Row],[Impact]])</f>
        <v>9</v>
      </c>
      <c r="I12" s="12" t="str">
        <f>IF(Table1[[#This Row],[Risk Score]]&lt;=4,"Low",
 IF(Table1[[#This Row],[Risk Score]]&lt;=8,"Medium",
 IF(Table1[[#This Row],[Risk Score]]&lt;=12,"High",
 "Critical")))</f>
        <v>High</v>
      </c>
      <c r="J12" s="1" t="s">
        <v>68</v>
      </c>
      <c r="K12" s="3" t="s">
        <v>296</v>
      </c>
      <c r="L12" s="3" t="s">
        <v>69</v>
      </c>
      <c r="M12" s="3" t="s">
        <v>204</v>
      </c>
      <c r="N12" s="3">
        <v>1</v>
      </c>
      <c r="O12" s="3">
        <v>2</v>
      </c>
      <c r="P12" s="3">
        <f>SUM(Table1[[#This Row],[Residual Likelihood ]]*Table1[[#This Row],[Residual Impact]])</f>
        <v>2</v>
      </c>
      <c r="Q12" s="3" t="str">
        <f>IF(Table1[[#This Row],[Residual Risk Score]]&lt;=4,"Low",
 IF(Table1[[#This Row],[Residual Risk Score]]&lt;=8,"Medium",
 IF(Table1[[#This Row],[Residual Risk Score]]&lt;=12,"High",
 "Critical")))</f>
        <v>Low</v>
      </c>
      <c r="R12" s="3" t="s">
        <v>230</v>
      </c>
    </row>
    <row r="13" spans="1:18" ht="43.2" x14ac:dyDescent="0.3">
      <c r="A13" s="4">
        <v>12</v>
      </c>
      <c r="B13" s="3" t="s">
        <v>10</v>
      </c>
      <c r="C13" s="3" t="s">
        <v>70</v>
      </c>
      <c r="D13" s="3" t="s">
        <v>71</v>
      </c>
      <c r="E13" s="3" t="s">
        <v>247</v>
      </c>
      <c r="F13" s="1">
        <v>3</v>
      </c>
      <c r="G13" s="1">
        <v>4</v>
      </c>
      <c r="H13" s="12">
        <f>SUM(Table1[[#This Row],[Liklihood]]*Table1[[#This Row],[Impact]])</f>
        <v>12</v>
      </c>
      <c r="I13" s="12" t="str">
        <f>IF(Table1[[#This Row],[Risk Score]]&lt;=4,"Low",
 IF(Table1[[#This Row],[Risk Score]]&lt;=8,"Medium",
 IF(Table1[[#This Row],[Risk Score]]&lt;=12,"High",
 "Critical")))</f>
        <v>High</v>
      </c>
      <c r="J13" s="1" t="s">
        <v>72</v>
      </c>
      <c r="K13" s="3" t="s">
        <v>294</v>
      </c>
      <c r="L13" s="3" t="s">
        <v>73</v>
      </c>
      <c r="M13" s="3" t="s">
        <v>204</v>
      </c>
      <c r="N13" s="3">
        <v>2</v>
      </c>
      <c r="O13" s="3">
        <v>3</v>
      </c>
      <c r="P13" s="3">
        <f>SUM(Table1[[#This Row],[Residual Likelihood ]]*Table1[[#This Row],[Residual Impact]])</f>
        <v>6</v>
      </c>
      <c r="Q13" s="3" t="str">
        <f>IF(Table1[[#This Row],[Residual Risk Score]]&lt;=4,"Low",
 IF(Table1[[#This Row],[Residual Risk Score]]&lt;=8,"Medium",
 IF(Table1[[#This Row],[Residual Risk Score]]&lt;=12,"High",
 "Critical")))</f>
        <v>Medium</v>
      </c>
      <c r="R13" s="3" t="s">
        <v>230</v>
      </c>
    </row>
    <row r="14" spans="1:18" ht="28.8" x14ac:dyDescent="0.3">
      <c r="A14" s="4">
        <v>13</v>
      </c>
      <c r="B14" s="3" t="s">
        <v>74</v>
      </c>
      <c r="C14" s="3" t="s">
        <v>75</v>
      </c>
      <c r="D14" s="3" t="s">
        <v>76</v>
      </c>
      <c r="E14" s="3" t="s">
        <v>238</v>
      </c>
      <c r="F14" s="1">
        <v>4</v>
      </c>
      <c r="G14" s="1">
        <v>3</v>
      </c>
      <c r="H14" s="12">
        <f>SUM(Table1[[#This Row],[Liklihood]]*Table1[[#This Row],[Impact]])</f>
        <v>12</v>
      </c>
      <c r="I14" s="12" t="str">
        <f>IF(Table1[[#This Row],[Risk Score]]&lt;=4,"Low",
 IF(Table1[[#This Row],[Risk Score]]&lt;=8,"Medium",
 IF(Table1[[#This Row],[Risk Score]]&lt;=12,"High",
 "Critical")))</f>
        <v>High</v>
      </c>
      <c r="J14" s="1" t="s">
        <v>228</v>
      </c>
      <c r="K14" s="3" t="s">
        <v>294</v>
      </c>
      <c r="L14" s="3" t="s">
        <v>77</v>
      </c>
      <c r="M14" s="3" t="s">
        <v>204</v>
      </c>
      <c r="N14" s="3">
        <v>2</v>
      </c>
      <c r="O14" s="3">
        <v>3</v>
      </c>
      <c r="P14" s="3">
        <f>SUM(Table1[[#This Row],[Residual Likelihood ]]*Table1[[#This Row],[Residual Impact]])</f>
        <v>6</v>
      </c>
      <c r="Q14" s="3" t="str">
        <f>IF(Table1[[#This Row],[Residual Risk Score]]&lt;=4,"Low",
 IF(Table1[[#This Row],[Residual Risk Score]]&lt;=8,"Medium",
 IF(Table1[[#This Row],[Residual Risk Score]]&lt;=12,"High",
 "Critical")))</f>
        <v>Medium</v>
      </c>
      <c r="R14" s="3" t="s">
        <v>230</v>
      </c>
    </row>
    <row r="15" spans="1:18" ht="28.8" x14ac:dyDescent="0.3">
      <c r="A15" s="4">
        <v>14</v>
      </c>
      <c r="B15" s="3" t="s">
        <v>78</v>
      </c>
      <c r="C15" s="3" t="s">
        <v>79</v>
      </c>
      <c r="D15" s="3" t="s">
        <v>80</v>
      </c>
      <c r="E15" s="3" t="s">
        <v>249</v>
      </c>
      <c r="F15" s="1">
        <v>3</v>
      </c>
      <c r="G15" s="1">
        <v>4</v>
      </c>
      <c r="H15" s="12">
        <f>SUM(Table1[[#This Row],[Liklihood]]*Table1[[#This Row],[Impact]])</f>
        <v>12</v>
      </c>
      <c r="I15" s="12" t="str">
        <f>IF(Table1[[#This Row],[Risk Score]]&lt;=4,"Low",
 IF(Table1[[#This Row],[Risk Score]]&lt;=8,"Medium",
 IF(Table1[[#This Row],[Risk Score]]&lt;=12,"High",
 "Critical")))</f>
        <v>High</v>
      </c>
      <c r="J15" s="1" t="s">
        <v>81</v>
      </c>
      <c r="K15" s="3" t="s">
        <v>294</v>
      </c>
      <c r="L15" s="3" t="s">
        <v>218</v>
      </c>
      <c r="M15" s="3" t="s">
        <v>203</v>
      </c>
      <c r="N15" s="3">
        <v>1</v>
      </c>
      <c r="O15" s="3">
        <v>3</v>
      </c>
      <c r="P15" s="3">
        <f>SUM(Table1[[#This Row],[Residual Likelihood ]]*Table1[[#This Row],[Residual Impact]])</f>
        <v>3</v>
      </c>
      <c r="Q15" s="3" t="str">
        <f>IF(Table1[[#This Row],[Residual Risk Score]]&lt;=4,"Low",
 IF(Table1[[#This Row],[Residual Risk Score]]&lt;=8,"Medium",
 IF(Table1[[#This Row],[Residual Risk Score]]&lt;=12,"High",
 "Critical")))</f>
        <v>Low</v>
      </c>
      <c r="R15" s="3" t="s">
        <v>230</v>
      </c>
    </row>
    <row r="16" spans="1:18" ht="43.2" x14ac:dyDescent="0.3">
      <c r="A16" s="4">
        <v>15</v>
      </c>
      <c r="B16" s="3" t="s">
        <v>276</v>
      </c>
      <c r="C16" s="3" t="s">
        <v>277</v>
      </c>
      <c r="D16" s="3" t="s">
        <v>278</v>
      </c>
      <c r="E16" s="3" t="s">
        <v>279</v>
      </c>
      <c r="F16" s="1">
        <v>2</v>
      </c>
      <c r="G16" s="1">
        <v>3</v>
      </c>
      <c r="H16" s="13">
        <f>SUM(Table1[[#This Row],[Liklihood]]*Table1[[#This Row],[Impact]])</f>
        <v>6</v>
      </c>
      <c r="I16" s="14" t="str">
        <f>IF(Table1[[#This Row],[Risk Score]]&lt;=4,"Low",
 IF(Table1[[#This Row],[Risk Score]]&lt;=8,"Medium",
 IF(Table1[[#This Row],[Risk Score]]&lt;=12,"High",
 "Critical")))</f>
        <v>Medium</v>
      </c>
      <c r="J16" s="1" t="s">
        <v>228</v>
      </c>
      <c r="K16" s="3" t="s">
        <v>280</v>
      </c>
      <c r="L16" s="3" t="s">
        <v>281</v>
      </c>
      <c r="M16" s="3" t="s">
        <v>203</v>
      </c>
      <c r="N16" s="3">
        <v>2</v>
      </c>
      <c r="O16" s="3">
        <v>3</v>
      </c>
      <c r="P16" s="15">
        <f>SUM(Table1[[#This Row],[Residual Likelihood ]]*Table1[[#This Row],[Residual Impact]])</f>
        <v>6</v>
      </c>
      <c r="Q16" s="15" t="str">
        <f>IF(Table1[[#This Row],[Residual Risk Score]]&lt;=4,"Low",
 IF(Table1[[#This Row],[Residual Risk Score]]&lt;=8,"Medium",
 IF(Table1[[#This Row],[Residual Risk Score]]&lt;=12,"High",
 "Critical")))</f>
        <v>Medium</v>
      </c>
      <c r="R16" s="3" t="s">
        <v>232</v>
      </c>
    </row>
    <row r="17" spans="1:18" ht="28.8" x14ac:dyDescent="0.3">
      <c r="A17" s="4">
        <v>16</v>
      </c>
      <c r="B17" s="3" t="s">
        <v>82</v>
      </c>
      <c r="C17" s="3" t="s">
        <v>83</v>
      </c>
      <c r="D17" s="3" t="s">
        <v>84</v>
      </c>
      <c r="E17" s="3" t="s">
        <v>248</v>
      </c>
      <c r="F17" s="1">
        <v>4</v>
      </c>
      <c r="G17" s="1">
        <v>3</v>
      </c>
      <c r="H17" s="12">
        <f>SUM(Table1[[#This Row],[Liklihood]]*Table1[[#This Row],[Impact]])</f>
        <v>12</v>
      </c>
      <c r="I17" s="12" t="str">
        <f>IF(Table1[[#This Row],[Risk Score]]&lt;=4,"Low",
 IF(Table1[[#This Row],[Risk Score]]&lt;=8,"Medium",
 IF(Table1[[#This Row],[Risk Score]]&lt;=12,"High",
 "Critical")))</f>
        <v>High</v>
      </c>
      <c r="J17" s="1" t="s">
        <v>85</v>
      </c>
      <c r="K17" s="3" t="s">
        <v>294</v>
      </c>
      <c r="L17" s="3" t="s">
        <v>86</v>
      </c>
      <c r="M17" s="3" t="s">
        <v>204</v>
      </c>
      <c r="N17" s="3">
        <v>2</v>
      </c>
      <c r="O17" s="3">
        <v>2</v>
      </c>
      <c r="P17" s="3">
        <f>SUM(Table1[[#This Row],[Residual Likelihood ]]*Table1[[#This Row],[Residual Impact]])</f>
        <v>4</v>
      </c>
      <c r="Q17" s="3" t="str">
        <f>IF(Table1[[#This Row],[Residual Risk Score]]&lt;=4,"Low",
 IF(Table1[[#This Row],[Residual Risk Score]]&lt;=8,"Medium",
 IF(Table1[[#This Row],[Residual Risk Score]]&lt;=12,"High",
 "Critical")))</f>
        <v>Low</v>
      </c>
      <c r="R17" s="3" t="s">
        <v>230</v>
      </c>
    </row>
    <row r="18" spans="1:18" ht="57.6" x14ac:dyDescent="0.3">
      <c r="A18" s="4">
        <v>17</v>
      </c>
      <c r="B18" s="3" t="s">
        <v>282</v>
      </c>
      <c r="C18" s="3" t="s">
        <v>283</v>
      </c>
      <c r="D18" s="3" t="s">
        <v>284</v>
      </c>
      <c r="E18" s="3" t="s">
        <v>285</v>
      </c>
      <c r="F18" s="1">
        <v>3</v>
      </c>
      <c r="G18" s="1">
        <v>4</v>
      </c>
      <c r="H18" s="13">
        <f>SUM(Table1[[#This Row],[Liklihood]]*Table1[[#This Row],[Impact]])</f>
        <v>12</v>
      </c>
      <c r="I18" s="14" t="str">
        <f>IF(Table1[[#This Row],[Risk Score]]&lt;=4,"Low",
 IF(Table1[[#This Row],[Risk Score]]&lt;=8,"Medium",
 IF(Table1[[#This Row],[Risk Score]]&lt;=12,"High",
 "Critical")))</f>
        <v>High</v>
      </c>
      <c r="J18" s="1" t="s">
        <v>228</v>
      </c>
      <c r="K18" s="3" t="s">
        <v>254</v>
      </c>
      <c r="L18" s="3" t="s">
        <v>286</v>
      </c>
      <c r="M18" s="3" t="s">
        <v>204</v>
      </c>
      <c r="N18" s="3">
        <v>2</v>
      </c>
      <c r="O18" s="3">
        <v>3</v>
      </c>
      <c r="P18" s="15">
        <f>SUM(Table1[[#This Row],[Residual Likelihood ]]*Table1[[#This Row],[Residual Impact]])</f>
        <v>6</v>
      </c>
      <c r="Q18" s="15" t="str">
        <f>IF(Table1[[#This Row],[Residual Risk Score]]&lt;=4,"Low",
 IF(Table1[[#This Row],[Residual Risk Score]]&lt;=8,"Medium",
 IF(Table1[[#This Row],[Residual Risk Score]]&lt;=12,"High",
 "Critical")))</f>
        <v>Medium</v>
      </c>
      <c r="R18" s="3" t="s">
        <v>230</v>
      </c>
    </row>
    <row r="19" spans="1:18" ht="28.8" x14ac:dyDescent="0.3">
      <c r="A19" s="4">
        <v>18</v>
      </c>
      <c r="B19" s="3" t="s">
        <v>87</v>
      </c>
      <c r="C19" s="3" t="s">
        <v>88</v>
      </c>
      <c r="D19" s="3" t="s">
        <v>89</v>
      </c>
      <c r="E19" s="3" t="s">
        <v>233</v>
      </c>
      <c r="F19" s="1">
        <v>3</v>
      </c>
      <c r="G19" s="1">
        <v>4</v>
      </c>
      <c r="H19" s="12">
        <f>SUM(Table1[[#This Row],[Liklihood]]*Table1[[#This Row],[Impact]])</f>
        <v>12</v>
      </c>
      <c r="I19" s="12" t="str">
        <f>IF(Table1[[#This Row],[Risk Score]]&lt;=4,"Low",
 IF(Table1[[#This Row],[Risk Score]]&lt;=8,"Medium",
 IF(Table1[[#This Row],[Risk Score]]&lt;=12,"High",
 "Critical")))</f>
        <v>High</v>
      </c>
      <c r="J19" s="1" t="s">
        <v>90</v>
      </c>
      <c r="K19" s="3" t="s">
        <v>294</v>
      </c>
      <c r="L19" s="3" t="s">
        <v>91</v>
      </c>
      <c r="M19" s="3" t="s">
        <v>92</v>
      </c>
      <c r="N19" s="3">
        <v>2</v>
      </c>
      <c r="O19" s="3">
        <v>3</v>
      </c>
      <c r="P19" s="3">
        <f>SUM(Table1[[#This Row],[Residual Likelihood ]]*Table1[[#This Row],[Residual Impact]])</f>
        <v>6</v>
      </c>
      <c r="Q19" s="3" t="str">
        <f>IF(Table1[[#This Row],[Residual Risk Score]]&lt;=4,"Low",
 IF(Table1[[#This Row],[Residual Risk Score]]&lt;=8,"Medium",
 IF(Table1[[#This Row],[Residual Risk Score]]&lt;=12,"High",
 "Critical")))</f>
        <v>Medium</v>
      </c>
      <c r="R19" s="3" t="s">
        <v>230</v>
      </c>
    </row>
    <row r="20" spans="1:18" ht="28.8" x14ac:dyDescent="0.3">
      <c r="A20" s="4">
        <v>19</v>
      </c>
      <c r="B20" s="3" t="s">
        <v>93</v>
      </c>
      <c r="C20" s="3" t="s">
        <v>94</v>
      </c>
      <c r="D20" s="3" t="s">
        <v>95</v>
      </c>
      <c r="E20" s="3" t="s">
        <v>242</v>
      </c>
      <c r="F20" s="1">
        <v>3</v>
      </c>
      <c r="G20" s="1">
        <v>4</v>
      </c>
      <c r="H20" s="12">
        <f>SUM(Table1[[#This Row],[Liklihood]]*Table1[[#This Row],[Impact]])</f>
        <v>12</v>
      </c>
      <c r="I20" s="12" t="str">
        <f>IF(Table1[[#This Row],[Risk Score]]&lt;=4,"Low",
 IF(Table1[[#This Row],[Risk Score]]&lt;=8,"Medium",
 IF(Table1[[#This Row],[Risk Score]]&lt;=12,"High",
 "Critical")))</f>
        <v>High</v>
      </c>
      <c r="J20" s="1" t="s">
        <v>96</v>
      </c>
      <c r="K20" s="3" t="s">
        <v>294</v>
      </c>
      <c r="L20" s="3" t="s">
        <v>97</v>
      </c>
      <c r="M20" s="3" t="s">
        <v>204</v>
      </c>
      <c r="N20" s="3">
        <v>1</v>
      </c>
      <c r="O20" s="3">
        <v>3</v>
      </c>
      <c r="P20" s="3">
        <f>SUM(Table1[[#This Row],[Residual Likelihood ]]*Table1[[#This Row],[Residual Impact]])</f>
        <v>3</v>
      </c>
      <c r="Q20" s="3" t="str">
        <f>IF(Table1[[#This Row],[Residual Risk Score]]&lt;=4,"Low",
 IF(Table1[[#This Row],[Residual Risk Score]]&lt;=8,"Medium",
 IF(Table1[[#This Row],[Residual Risk Score]]&lt;=12,"High",
 "Critical")))</f>
        <v>Low</v>
      </c>
      <c r="R20" s="3" t="s">
        <v>232</v>
      </c>
    </row>
    <row r="21" spans="1:18" ht="28.8" x14ac:dyDescent="0.3">
      <c r="A21" s="4">
        <v>20</v>
      </c>
      <c r="B21" s="3" t="s">
        <v>98</v>
      </c>
      <c r="C21" s="3" t="s">
        <v>70</v>
      </c>
      <c r="D21" s="3" t="s">
        <v>99</v>
      </c>
      <c r="E21" s="3" t="s">
        <v>235</v>
      </c>
      <c r="F21" s="1">
        <v>3</v>
      </c>
      <c r="G21" s="1">
        <v>4</v>
      </c>
      <c r="H21" s="12">
        <f>SUM(Table1[[#This Row],[Liklihood]]*Table1[[#This Row],[Impact]])</f>
        <v>12</v>
      </c>
      <c r="I21" s="12" t="str">
        <f>IF(Table1[[#This Row],[Risk Score]]&lt;=4,"Low",
 IF(Table1[[#This Row],[Risk Score]]&lt;=8,"Medium",
 IF(Table1[[#This Row],[Risk Score]]&lt;=12,"High",
 "Critical")))</f>
        <v>High</v>
      </c>
      <c r="J21" s="1" t="s">
        <v>228</v>
      </c>
      <c r="K21" s="3" t="s">
        <v>294</v>
      </c>
      <c r="L21" s="3" t="s">
        <v>100</v>
      </c>
      <c r="M21" s="3" t="s">
        <v>204</v>
      </c>
      <c r="N21" s="3">
        <v>2</v>
      </c>
      <c r="O21" s="3">
        <v>3</v>
      </c>
      <c r="P21" s="3">
        <f>SUM(Table1[[#This Row],[Residual Likelihood ]]*Table1[[#This Row],[Residual Impact]])</f>
        <v>6</v>
      </c>
      <c r="Q21" s="3" t="str">
        <f>IF(Table1[[#This Row],[Residual Risk Score]]&lt;=4,"Low",
 IF(Table1[[#This Row],[Residual Risk Score]]&lt;=8,"Medium",
 IF(Table1[[#This Row],[Residual Risk Score]]&lt;=12,"High",
 "Critical")))</f>
        <v>Medium</v>
      </c>
      <c r="R21" s="3" t="s">
        <v>230</v>
      </c>
    </row>
    <row r="22" spans="1:18" ht="28.8" x14ac:dyDescent="0.3">
      <c r="A22" s="4">
        <v>21</v>
      </c>
      <c r="B22" s="3" t="s">
        <v>101</v>
      </c>
      <c r="C22" s="3" t="s">
        <v>102</v>
      </c>
      <c r="D22" s="3" t="s">
        <v>103</v>
      </c>
      <c r="E22" s="3" t="s">
        <v>260</v>
      </c>
      <c r="F22" s="1">
        <v>3</v>
      </c>
      <c r="G22" s="1">
        <v>3</v>
      </c>
      <c r="H22" s="12">
        <f>SUM(Table1[[#This Row],[Liklihood]]*Table1[[#This Row],[Impact]])</f>
        <v>9</v>
      </c>
      <c r="I22" s="12" t="str">
        <f>IF(Table1[[#This Row],[Risk Score]]&lt;=4,"Low",
 IF(Table1[[#This Row],[Risk Score]]&lt;=8,"Medium",
 IF(Table1[[#This Row],[Risk Score]]&lt;=12,"High",
 "Critical")))</f>
        <v>High</v>
      </c>
      <c r="J22" s="1" t="s">
        <v>104</v>
      </c>
      <c r="K22" s="3" t="s">
        <v>296</v>
      </c>
      <c r="L22" s="3" t="s">
        <v>105</v>
      </c>
      <c r="M22" s="3" t="s">
        <v>54</v>
      </c>
      <c r="N22" s="3">
        <v>2</v>
      </c>
      <c r="O22" s="3">
        <v>2</v>
      </c>
      <c r="P22" s="3">
        <f>SUM(Table1[[#This Row],[Residual Likelihood ]]*Table1[[#This Row],[Residual Impact]])</f>
        <v>4</v>
      </c>
      <c r="Q22" s="3" t="str">
        <f>IF(Table1[[#This Row],[Residual Risk Score]]&lt;=4,"Low",
 IF(Table1[[#This Row],[Residual Risk Score]]&lt;=8,"Medium",
 IF(Table1[[#This Row],[Residual Risk Score]]&lt;=12,"High",
 "Critical")))</f>
        <v>Low</v>
      </c>
      <c r="R22" s="3" t="s">
        <v>230</v>
      </c>
    </row>
    <row r="23" spans="1:18" ht="43.2" x14ac:dyDescent="0.3">
      <c r="A23" s="4">
        <v>22</v>
      </c>
      <c r="B23" s="3" t="s">
        <v>106</v>
      </c>
      <c r="C23" s="3" t="s">
        <v>13</v>
      </c>
      <c r="D23" s="3" t="s">
        <v>107</v>
      </c>
      <c r="E23" s="3" t="s">
        <v>274</v>
      </c>
      <c r="F23" s="1">
        <v>3</v>
      </c>
      <c r="G23" s="1">
        <v>3</v>
      </c>
      <c r="H23" s="12">
        <f>SUM(Table1[[#This Row],[Liklihood]]*Table1[[#This Row],[Impact]])</f>
        <v>9</v>
      </c>
      <c r="I23" s="12" t="str">
        <f>IF(Table1[[#This Row],[Risk Score]]&lt;=4,"Low",
 IF(Table1[[#This Row],[Risk Score]]&lt;=8,"Medium",
 IF(Table1[[#This Row],[Risk Score]]&lt;=12,"High",
 "Critical")))</f>
        <v>High</v>
      </c>
      <c r="J23" s="1" t="s">
        <v>108</v>
      </c>
      <c r="K23" s="3" t="s">
        <v>294</v>
      </c>
      <c r="L23" s="3" t="s">
        <v>109</v>
      </c>
      <c r="M23" s="3" t="s">
        <v>207</v>
      </c>
      <c r="N23" s="3">
        <v>2</v>
      </c>
      <c r="O23" s="3">
        <v>2</v>
      </c>
      <c r="P23" s="3">
        <f>SUM(Table1[[#This Row],[Residual Likelihood ]]*Table1[[#This Row],[Residual Impact]])</f>
        <v>4</v>
      </c>
      <c r="Q23" s="3" t="str">
        <f>IF(Table1[[#This Row],[Residual Risk Score]]&lt;=4,"Low",
 IF(Table1[[#This Row],[Residual Risk Score]]&lt;=8,"Medium",
 IF(Table1[[#This Row],[Residual Risk Score]]&lt;=12,"High",
 "Critical")))</f>
        <v>Low</v>
      </c>
      <c r="R23" s="3" t="s">
        <v>230</v>
      </c>
    </row>
    <row r="24" spans="1:18" ht="28.8" x14ac:dyDescent="0.3">
      <c r="A24" s="4">
        <v>23</v>
      </c>
      <c r="B24" s="3" t="s">
        <v>110</v>
      </c>
      <c r="C24" s="3" t="s">
        <v>111</v>
      </c>
      <c r="D24" s="3" t="s">
        <v>112</v>
      </c>
      <c r="E24" s="3" t="s">
        <v>271</v>
      </c>
      <c r="F24" s="1">
        <v>2</v>
      </c>
      <c r="G24" s="1">
        <v>3</v>
      </c>
      <c r="H24" s="12">
        <f>SUM(Table1[[#This Row],[Liklihood]]*Table1[[#This Row],[Impact]])</f>
        <v>6</v>
      </c>
      <c r="I24" s="12" t="str">
        <f>IF(Table1[[#This Row],[Risk Score]]&lt;=4,"Low",
 IF(Table1[[#This Row],[Risk Score]]&lt;=8,"Medium",
 IF(Table1[[#This Row],[Risk Score]]&lt;=12,"High",
 "Critical")))</f>
        <v>Medium</v>
      </c>
      <c r="J24" s="1" t="s">
        <v>113</v>
      </c>
      <c r="K24" s="3" t="s">
        <v>294</v>
      </c>
      <c r="L24" s="3" t="s">
        <v>114</v>
      </c>
      <c r="M24" s="3" t="s">
        <v>110</v>
      </c>
      <c r="N24" s="3">
        <v>1</v>
      </c>
      <c r="O24" s="3">
        <v>2</v>
      </c>
      <c r="P24" s="3">
        <f>SUM(Table1[[#This Row],[Residual Likelihood ]]*Table1[[#This Row],[Residual Impact]])</f>
        <v>2</v>
      </c>
      <c r="Q24" s="3" t="str">
        <f>IF(Table1[[#This Row],[Residual Risk Score]]&lt;=4,"Low",
 IF(Table1[[#This Row],[Residual Risk Score]]&lt;=8,"Medium",
 IF(Table1[[#This Row],[Residual Risk Score]]&lt;=12,"High",
 "Critical")))</f>
        <v>Low</v>
      </c>
      <c r="R24" s="3" t="s">
        <v>232</v>
      </c>
    </row>
    <row r="25" spans="1:18" ht="28.8" x14ac:dyDescent="0.3">
      <c r="A25" s="4">
        <v>24</v>
      </c>
      <c r="B25" s="3" t="s">
        <v>115</v>
      </c>
      <c r="C25" s="3" t="s">
        <v>116</v>
      </c>
      <c r="D25" s="3" t="s">
        <v>117</v>
      </c>
      <c r="E25" s="3" t="s">
        <v>253</v>
      </c>
      <c r="F25" s="1">
        <v>3</v>
      </c>
      <c r="G25" s="1">
        <v>4</v>
      </c>
      <c r="H25" s="12">
        <f>SUM(Table1[[#This Row],[Liklihood]]*Table1[[#This Row],[Impact]])</f>
        <v>12</v>
      </c>
      <c r="I25" s="12" t="str">
        <f>IF(Table1[[#This Row],[Risk Score]]&lt;=4,"Low",
 IF(Table1[[#This Row],[Risk Score]]&lt;=8,"Medium",
 IF(Table1[[#This Row],[Risk Score]]&lt;=12,"High",
 "Critical")))</f>
        <v>High</v>
      </c>
      <c r="J25" s="1" t="s">
        <v>47</v>
      </c>
      <c r="K25" s="3" t="s">
        <v>254</v>
      </c>
      <c r="L25" s="3" t="s">
        <v>118</v>
      </c>
      <c r="M25" s="3" t="s">
        <v>204</v>
      </c>
      <c r="N25" s="3">
        <v>3</v>
      </c>
      <c r="O25" s="3">
        <v>3</v>
      </c>
      <c r="P25" s="3">
        <f>SUM(Table1[[#This Row],[Residual Likelihood ]]*Table1[[#This Row],[Residual Impact]])</f>
        <v>9</v>
      </c>
      <c r="Q25" s="3" t="str">
        <f>IF(Table1[[#This Row],[Residual Risk Score]]&lt;=4,"Low",
 IF(Table1[[#This Row],[Residual Risk Score]]&lt;=8,"Medium",
 IF(Table1[[#This Row],[Residual Risk Score]]&lt;=12,"High",
 "Critical")))</f>
        <v>High</v>
      </c>
      <c r="R25" s="3" t="s">
        <v>230</v>
      </c>
    </row>
    <row r="26" spans="1:18" ht="43.2" x14ac:dyDescent="0.3">
      <c r="A26" s="4">
        <v>25</v>
      </c>
      <c r="B26" s="3" t="s">
        <v>119</v>
      </c>
      <c r="C26" s="3" t="s">
        <v>120</v>
      </c>
      <c r="D26" s="3" t="s">
        <v>121</v>
      </c>
      <c r="E26" s="3" t="s">
        <v>267</v>
      </c>
      <c r="F26" s="1">
        <v>3</v>
      </c>
      <c r="G26" s="1">
        <v>4</v>
      </c>
      <c r="H26" s="12">
        <f>SUM(Table1[[#This Row],[Liklihood]]*Table1[[#This Row],[Impact]])</f>
        <v>12</v>
      </c>
      <c r="I26" s="12" t="str">
        <f>IF(Table1[[#This Row],[Risk Score]]&lt;=4,"Low",
 IF(Table1[[#This Row],[Risk Score]]&lt;=8,"Medium",
 IF(Table1[[#This Row],[Risk Score]]&lt;=12,"High",
 "Critical")))</f>
        <v>High</v>
      </c>
      <c r="J26" s="1" t="s">
        <v>122</v>
      </c>
      <c r="K26" s="3" t="s">
        <v>295</v>
      </c>
      <c r="L26" s="3" t="s">
        <v>217</v>
      </c>
      <c r="M26" s="3" t="s">
        <v>203</v>
      </c>
      <c r="N26" s="3">
        <v>1</v>
      </c>
      <c r="O26" s="3">
        <v>3</v>
      </c>
      <c r="P26" s="3">
        <f>SUM(Table1[[#This Row],[Residual Likelihood ]]*Table1[[#This Row],[Residual Impact]])</f>
        <v>3</v>
      </c>
      <c r="Q26" s="3" t="str">
        <f>IF(Table1[[#This Row],[Residual Risk Score]]&lt;=4,"Low",
 IF(Table1[[#This Row],[Residual Risk Score]]&lt;=8,"Medium",
 IF(Table1[[#This Row],[Residual Risk Score]]&lt;=12,"High",
 "Critical")))</f>
        <v>Low</v>
      </c>
      <c r="R26" s="3" t="s">
        <v>230</v>
      </c>
    </row>
    <row r="27" spans="1:18" ht="28.8" x14ac:dyDescent="0.3">
      <c r="A27" s="4">
        <v>26</v>
      </c>
      <c r="B27" s="3" t="s">
        <v>123</v>
      </c>
      <c r="C27" s="3" t="s">
        <v>124</v>
      </c>
      <c r="D27" s="3" t="s">
        <v>125</v>
      </c>
      <c r="E27" s="3" t="s">
        <v>257</v>
      </c>
      <c r="F27" s="1">
        <v>3</v>
      </c>
      <c r="G27" s="1">
        <v>3</v>
      </c>
      <c r="H27" s="12">
        <f>SUM(Table1[[#This Row],[Liklihood]]*Table1[[#This Row],[Impact]])</f>
        <v>9</v>
      </c>
      <c r="I27" s="12" t="str">
        <f>IF(Table1[[#This Row],[Risk Score]]&lt;=4,"Low",
 IF(Table1[[#This Row],[Risk Score]]&lt;=8,"Medium",
 IF(Table1[[#This Row],[Risk Score]]&lt;=12,"High",
 "Critical")))</f>
        <v>High</v>
      </c>
      <c r="J27" s="1" t="s">
        <v>126</v>
      </c>
      <c r="K27" s="3" t="s">
        <v>294</v>
      </c>
      <c r="L27" s="3" t="s">
        <v>127</v>
      </c>
      <c r="M27" s="3" t="s">
        <v>204</v>
      </c>
      <c r="N27" s="3">
        <v>1</v>
      </c>
      <c r="O27" s="3">
        <v>2</v>
      </c>
      <c r="P27" s="3">
        <f>SUM(Table1[[#This Row],[Residual Likelihood ]]*Table1[[#This Row],[Residual Impact]])</f>
        <v>2</v>
      </c>
      <c r="Q27" s="3" t="str">
        <f>IF(Table1[[#This Row],[Residual Risk Score]]&lt;=4,"Low",
 IF(Table1[[#This Row],[Residual Risk Score]]&lt;=8,"Medium",
 IF(Table1[[#This Row],[Residual Risk Score]]&lt;=12,"High",
 "Critical")))</f>
        <v>Low</v>
      </c>
      <c r="R27" s="3" t="s">
        <v>230</v>
      </c>
    </row>
    <row r="28" spans="1:18" ht="28.8" x14ac:dyDescent="0.3">
      <c r="A28" s="4">
        <v>27</v>
      </c>
      <c r="B28" s="3" t="s">
        <v>128</v>
      </c>
      <c r="C28" s="3" t="s">
        <v>70</v>
      </c>
      <c r="D28" s="3" t="s">
        <v>129</v>
      </c>
      <c r="E28" s="3" t="s">
        <v>252</v>
      </c>
      <c r="F28" s="1">
        <v>3</v>
      </c>
      <c r="G28" s="1">
        <v>3</v>
      </c>
      <c r="H28" s="12">
        <f>SUM(Table1[[#This Row],[Liklihood]]*Table1[[#This Row],[Impact]])</f>
        <v>9</v>
      </c>
      <c r="I28" s="12" t="str">
        <f>IF(Table1[[#This Row],[Risk Score]]&lt;=4,"Low",
 IF(Table1[[#This Row],[Risk Score]]&lt;=8,"Medium",
 IF(Table1[[#This Row],[Risk Score]]&lt;=12,"High",
 "Critical")))</f>
        <v>High</v>
      </c>
      <c r="J28" s="1" t="s">
        <v>130</v>
      </c>
      <c r="K28" s="3" t="s">
        <v>294</v>
      </c>
      <c r="L28" s="3" t="s">
        <v>131</v>
      </c>
      <c r="M28" s="3" t="s">
        <v>204</v>
      </c>
      <c r="N28" s="3">
        <v>2</v>
      </c>
      <c r="O28" s="3">
        <v>2</v>
      </c>
      <c r="P28" s="3">
        <f>SUM(Table1[[#This Row],[Residual Likelihood ]]*Table1[[#This Row],[Residual Impact]])</f>
        <v>4</v>
      </c>
      <c r="Q28" s="3" t="str">
        <f>IF(Table1[[#This Row],[Residual Risk Score]]&lt;=4,"Low",
 IF(Table1[[#This Row],[Residual Risk Score]]&lt;=8,"Medium",
 IF(Table1[[#This Row],[Residual Risk Score]]&lt;=12,"High",
 "Critical")))</f>
        <v>Low</v>
      </c>
      <c r="R28" s="3" t="s">
        <v>230</v>
      </c>
    </row>
    <row r="29" spans="1:18" ht="43.2" x14ac:dyDescent="0.3">
      <c r="A29" s="4">
        <v>28</v>
      </c>
      <c r="B29" s="3" t="s">
        <v>11</v>
      </c>
      <c r="C29" s="3" t="s">
        <v>132</v>
      </c>
      <c r="D29" s="3" t="s">
        <v>133</v>
      </c>
      <c r="E29" s="3" t="s">
        <v>264</v>
      </c>
      <c r="F29" s="1">
        <v>4</v>
      </c>
      <c r="G29" s="1">
        <v>4</v>
      </c>
      <c r="H29" s="12">
        <f>SUM(Table1[[#This Row],[Liklihood]]*Table1[[#This Row],[Impact]])</f>
        <v>16</v>
      </c>
      <c r="I29" s="12" t="str">
        <f>IF(Table1[[#This Row],[Risk Score]]&lt;=4,"Low",
 IF(Table1[[#This Row],[Risk Score]]&lt;=8,"Medium",
 IF(Table1[[#This Row],[Risk Score]]&lt;=12,"High",
 "Critical")))</f>
        <v>Critical</v>
      </c>
      <c r="J29" s="1" t="s">
        <v>134</v>
      </c>
      <c r="K29" s="3" t="s">
        <v>294</v>
      </c>
      <c r="L29" s="3" t="s">
        <v>135</v>
      </c>
      <c r="M29" s="3" t="s">
        <v>204</v>
      </c>
      <c r="N29" s="3">
        <v>2</v>
      </c>
      <c r="O29" s="3">
        <v>3</v>
      </c>
      <c r="P29" s="3">
        <f>SUM(Table1[[#This Row],[Residual Likelihood ]]*Table1[[#This Row],[Residual Impact]])</f>
        <v>6</v>
      </c>
      <c r="Q29" s="3" t="str">
        <f>IF(Table1[[#This Row],[Residual Risk Score]]&lt;=4,"Low",
 IF(Table1[[#This Row],[Residual Risk Score]]&lt;=8,"Medium",
 IF(Table1[[#This Row],[Residual Risk Score]]&lt;=12,"High",
 "Critical")))</f>
        <v>Medium</v>
      </c>
      <c r="R29" s="3" t="s">
        <v>230</v>
      </c>
    </row>
    <row r="30" spans="1:18" ht="28.8" x14ac:dyDescent="0.3">
      <c r="A30" s="4">
        <v>29</v>
      </c>
      <c r="B30" s="3" t="s">
        <v>136</v>
      </c>
      <c r="C30" s="3" t="s">
        <v>13</v>
      </c>
      <c r="D30" s="3" t="s">
        <v>137</v>
      </c>
      <c r="E30" s="3" t="s">
        <v>251</v>
      </c>
      <c r="F30" s="1">
        <v>3</v>
      </c>
      <c r="G30" s="1">
        <v>4</v>
      </c>
      <c r="H30" s="12">
        <f>SUM(Table1[[#This Row],[Liklihood]]*Table1[[#This Row],[Impact]])</f>
        <v>12</v>
      </c>
      <c r="I30" s="12" t="str">
        <f>IF(Table1[[#This Row],[Risk Score]]&lt;=4,"Low",
 IF(Table1[[#This Row],[Risk Score]]&lt;=8,"Medium",
 IF(Table1[[#This Row],[Risk Score]]&lt;=12,"High",
 "Critical")))</f>
        <v>High</v>
      </c>
      <c r="J30" s="1" t="s">
        <v>138</v>
      </c>
      <c r="K30" s="3" t="s">
        <v>295</v>
      </c>
      <c r="L30" s="3" t="s">
        <v>139</v>
      </c>
      <c r="M30" s="3" t="s">
        <v>140</v>
      </c>
      <c r="N30" s="3">
        <v>2</v>
      </c>
      <c r="O30" s="3">
        <v>3</v>
      </c>
      <c r="P30" s="3">
        <f>SUM(Table1[[#This Row],[Residual Likelihood ]]*Table1[[#This Row],[Residual Impact]])</f>
        <v>6</v>
      </c>
      <c r="Q30" s="3" t="str">
        <f>IF(Table1[[#This Row],[Residual Risk Score]]&lt;=4,"Low",
 IF(Table1[[#This Row],[Residual Risk Score]]&lt;=8,"Medium",
 IF(Table1[[#This Row],[Residual Risk Score]]&lt;=12,"High",
 "Critical")))</f>
        <v>Medium</v>
      </c>
      <c r="R30" s="3" t="s">
        <v>230</v>
      </c>
    </row>
    <row r="31" spans="1:18" ht="28.8" x14ac:dyDescent="0.3">
      <c r="A31" s="4">
        <v>30</v>
      </c>
      <c r="B31" s="3" t="s">
        <v>141</v>
      </c>
      <c r="C31" s="3" t="s">
        <v>142</v>
      </c>
      <c r="D31" s="3" t="s">
        <v>143</v>
      </c>
      <c r="E31" s="3" t="s">
        <v>256</v>
      </c>
      <c r="F31" s="1">
        <v>3</v>
      </c>
      <c r="G31" s="1">
        <v>4</v>
      </c>
      <c r="H31" s="12">
        <f>SUM(Table1[[#This Row],[Liklihood]]*Table1[[#This Row],[Impact]])</f>
        <v>12</v>
      </c>
      <c r="I31" s="12" t="str">
        <f>IF(Table1[[#This Row],[Risk Score]]&lt;=4,"Low",
 IF(Table1[[#This Row],[Risk Score]]&lt;=8,"Medium",
 IF(Table1[[#This Row],[Risk Score]]&lt;=12,"High",
 "Critical")))</f>
        <v>High</v>
      </c>
      <c r="J31" s="1" t="s">
        <v>144</v>
      </c>
      <c r="K31" s="3" t="s">
        <v>294</v>
      </c>
      <c r="L31" s="3" t="s">
        <v>145</v>
      </c>
      <c r="M31" s="3" t="s">
        <v>204</v>
      </c>
      <c r="N31" s="3">
        <v>2</v>
      </c>
      <c r="O31" s="3">
        <v>3</v>
      </c>
      <c r="P31" s="3">
        <f>SUM(Table1[[#This Row],[Residual Likelihood ]]*Table1[[#This Row],[Residual Impact]])</f>
        <v>6</v>
      </c>
      <c r="Q31" s="3" t="str">
        <f>IF(Table1[[#This Row],[Residual Risk Score]]&lt;=4,"Low",
 IF(Table1[[#This Row],[Residual Risk Score]]&lt;=8,"Medium",
 IF(Table1[[#This Row],[Residual Risk Score]]&lt;=12,"High",
 "Critical")))</f>
        <v>Medium</v>
      </c>
      <c r="R31" s="3" t="s">
        <v>230</v>
      </c>
    </row>
    <row r="32" spans="1:18" ht="43.2" x14ac:dyDescent="0.3">
      <c r="A32" s="4">
        <v>31</v>
      </c>
      <c r="B32" s="3" t="s">
        <v>287</v>
      </c>
      <c r="C32" s="3" t="s">
        <v>288</v>
      </c>
      <c r="D32" s="3" t="s">
        <v>289</v>
      </c>
      <c r="E32" s="3" t="s">
        <v>290</v>
      </c>
      <c r="F32" s="1">
        <v>4</v>
      </c>
      <c r="G32" s="1">
        <v>4</v>
      </c>
      <c r="H32" s="13">
        <f>SUM(Table1[[#This Row],[Liklihood]]*Table1[[#This Row],[Impact]])</f>
        <v>16</v>
      </c>
      <c r="I32" s="14" t="str">
        <f>IF(Table1[[#This Row],[Risk Score]]&lt;=4,"Low",
 IF(Table1[[#This Row],[Risk Score]]&lt;=8,"Medium",
 IF(Table1[[#This Row],[Risk Score]]&lt;=12,"High",
 "Critical")))</f>
        <v>Critical</v>
      </c>
      <c r="J32" s="1" t="s">
        <v>228</v>
      </c>
      <c r="K32" s="3" t="s">
        <v>294</v>
      </c>
      <c r="L32" s="3" t="s">
        <v>291</v>
      </c>
      <c r="M32" s="3" t="s">
        <v>204</v>
      </c>
      <c r="N32" s="3">
        <v>2</v>
      </c>
      <c r="O32" s="3">
        <v>3</v>
      </c>
      <c r="P32" s="15">
        <f>SUM(Table1[[#This Row],[Residual Likelihood ]]*Table1[[#This Row],[Residual Impact]])</f>
        <v>6</v>
      </c>
      <c r="Q32" s="15" t="str">
        <f>IF(Table1[[#This Row],[Residual Risk Score]]&lt;=4,"Low",
 IF(Table1[[#This Row],[Residual Risk Score]]&lt;=8,"Medium",
 IF(Table1[[#This Row],[Residual Risk Score]]&lt;=12,"High",
 "Critical")))</f>
        <v>Medium</v>
      </c>
      <c r="R32" s="3" t="s">
        <v>230</v>
      </c>
    </row>
    <row r="33" spans="1:18" ht="43.2" x14ac:dyDescent="0.3">
      <c r="A33" s="4">
        <v>32</v>
      </c>
      <c r="B33" s="3" t="s">
        <v>146</v>
      </c>
      <c r="C33" s="3" t="s">
        <v>147</v>
      </c>
      <c r="D33" s="3" t="s">
        <v>148</v>
      </c>
      <c r="E33" s="3" t="s">
        <v>246</v>
      </c>
      <c r="F33" s="1">
        <v>3</v>
      </c>
      <c r="G33" s="1">
        <v>3</v>
      </c>
      <c r="H33" s="12">
        <f>SUM(Table1[[#This Row],[Liklihood]]*Table1[[#This Row],[Impact]])</f>
        <v>9</v>
      </c>
      <c r="I33" s="12" t="str">
        <f>IF(Table1[[#This Row],[Risk Score]]&lt;=4,"Low",
 IF(Table1[[#This Row],[Risk Score]]&lt;=8,"Medium",
 IF(Table1[[#This Row],[Risk Score]]&lt;=12,"High",
 "Critical")))</f>
        <v>High</v>
      </c>
      <c r="J33" s="1" t="s">
        <v>149</v>
      </c>
      <c r="K33" s="3" t="s">
        <v>294</v>
      </c>
      <c r="L33" s="3" t="s">
        <v>150</v>
      </c>
      <c r="M33" s="3" t="s">
        <v>204</v>
      </c>
      <c r="N33" s="3">
        <v>1</v>
      </c>
      <c r="O33" s="3">
        <v>2</v>
      </c>
      <c r="P33" s="3">
        <f>SUM(Table1[[#This Row],[Residual Likelihood ]]*Table1[[#This Row],[Residual Impact]])</f>
        <v>2</v>
      </c>
      <c r="Q33" s="3" t="str">
        <f>IF(Table1[[#This Row],[Residual Risk Score]]&lt;=4,"Low",
 IF(Table1[[#This Row],[Residual Risk Score]]&lt;=8,"Medium",
 IF(Table1[[#This Row],[Residual Risk Score]]&lt;=12,"High",
 "Critical")))</f>
        <v>Low</v>
      </c>
      <c r="R33" s="3" t="s">
        <v>232</v>
      </c>
    </row>
    <row r="34" spans="1:18" ht="43.2" x14ac:dyDescent="0.3">
      <c r="A34" s="4">
        <v>33</v>
      </c>
      <c r="B34" s="3" t="s">
        <v>151</v>
      </c>
      <c r="C34" s="3" t="s">
        <v>20</v>
      </c>
      <c r="D34" s="3" t="s">
        <v>16</v>
      </c>
      <c r="E34" s="3" t="s">
        <v>229</v>
      </c>
      <c r="F34" s="1">
        <v>4</v>
      </c>
      <c r="G34" s="1">
        <v>4</v>
      </c>
      <c r="H34" s="12">
        <f>SUM(Table1[[#This Row],[Liklihood]]*Table1[[#This Row],[Impact]])</f>
        <v>16</v>
      </c>
      <c r="I34" s="12" t="str">
        <f>IF(Table1[[#This Row],[Risk Score]]&lt;=4,"Low",
 IF(Table1[[#This Row],[Risk Score]]&lt;=8,"Medium",
 IF(Table1[[#This Row],[Risk Score]]&lt;=12,"High",
 "Critical")))</f>
        <v>Critical</v>
      </c>
      <c r="J34" s="1" t="s">
        <v>228</v>
      </c>
      <c r="K34" s="3" t="s">
        <v>294</v>
      </c>
      <c r="L34" s="3" t="s">
        <v>152</v>
      </c>
      <c r="M34" s="3" t="s">
        <v>204</v>
      </c>
      <c r="N34" s="3">
        <v>2</v>
      </c>
      <c r="O34" s="3">
        <v>3</v>
      </c>
      <c r="P34" s="3">
        <f>SUM(Table1[[#This Row],[Residual Likelihood ]]*Table1[[#This Row],[Residual Impact]])</f>
        <v>6</v>
      </c>
      <c r="Q34" s="3" t="str">
        <f>IF(Table1[[#This Row],[Residual Risk Score]]&lt;=4,"Low",
 IF(Table1[[#This Row],[Residual Risk Score]]&lt;=8,"Medium",
 IF(Table1[[#This Row],[Residual Risk Score]]&lt;=12,"High",
 "Critical")))</f>
        <v>Medium</v>
      </c>
      <c r="R34" s="3" t="s">
        <v>230</v>
      </c>
    </row>
    <row r="35" spans="1:18" ht="43.2" x14ac:dyDescent="0.3">
      <c r="A35" s="4">
        <v>34</v>
      </c>
      <c r="B35" s="3" t="s">
        <v>153</v>
      </c>
      <c r="C35" s="3" t="s">
        <v>154</v>
      </c>
      <c r="D35" s="3" t="s">
        <v>155</v>
      </c>
      <c r="E35" s="3" t="s">
        <v>270</v>
      </c>
      <c r="F35" s="1">
        <v>3</v>
      </c>
      <c r="G35" s="1">
        <v>3</v>
      </c>
      <c r="H35" s="12">
        <f>SUM(Table1[[#This Row],[Liklihood]]*Table1[[#This Row],[Impact]])</f>
        <v>9</v>
      </c>
      <c r="I35" s="12" t="str">
        <f>IF(Table1[[#This Row],[Risk Score]]&lt;=4,"Low",
 IF(Table1[[#This Row],[Risk Score]]&lt;=8,"Medium",
 IF(Table1[[#This Row],[Risk Score]]&lt;=12,"High",
 "Critical")))</f>
        <v>High</v>
      </c>
      <c r="J35" s="1" t="s">
        <v>156</v>
      </c>
      <c r="K35" s="3" t="s">
        <v>294</v>
      </c>
      <c r="L35" s="3" t="s">
        <v>157</v>
      </c>
      <c r="M35" s="3" t="s">
        <v>92</v>
      </c>
      <c r="N35" s="3">
        <v>2</v>
      </c>
      <c r="O35" s="3">
        <v>2</v>
      </c>
      <c r="P35" s="3">
        <f>SUM(Table1[[#This Row],[Residual Likelihood ]]*Table1[[#This Row],[Residual Impact]])</f>
        <v>4</v>
      </c>
      <c r="Q35" s="3" t="str">
        <f>IF(Table1[[#This Row],[Residual Risk Score]]&lt;=4,"Low",
 IF(Table1[[#This Row],[Residual Risk Score]]&lt;=8,"Medium",
 IF(Table1[[#This Row],[Residual Risk Score]]&lt;=12,"High",
 "Critical")))</f>
        <v>Low</v>
      </c>
      <c r="R35" s="3" t="s">
        <v>230</v>
      </c>
    </row>
    <row r="36" spans="1:18" ht="28.8" x14ac:dyDescent="0.3">
      <c r="A36" s="4">
        <v>35</v>
      </c>
      <c r="B36" s="3" t="s">
        <v>158</v>
      </c>
      <c r="C36" s="3" t="s">
        <v>159</v>
      </c>
      <c r="D36" s="3" t="s">
        <v>160</v>
      </c>
      <c r="E36" s="3" t="s">
        <v>241</v>
      </c>
      <c r="F36" s="1">
        <v>3</v>
      </c>
      <c r="G36" s="1">
        <v>3</v>
      </c>
      <c r="H36" s="12">
        <f>SUM(Table1[[#This Row],[Liklihood]]*Table1[[#This Row],[Impact]])</f>
        <v>9</v>
      </c>
      <c r="I36" s="12" t="str">
        <f>IF(Table1[[#This Row],[Risk Score]]&lt;=4,"Low",
 IF(Table1[[#This Row],[Risk Score]]&lt;=8,"Medium",
 IF(Table1[[#This Row],[Risk Score]]&lt;=12,"High",
 "Critical")))</f>
        <v>High</v>
      </c>
      <c r="J36" s="1" t="s">
        <v>161</v>
      </c>
      <c r="K36" s="3" t="s">
        <v>294</v>
      </c>
      <c r="L36" s="3" t="s">
        <v>162</v>
      </c>
      <c r="M36" s="3" t="s">
        <v>206</v>
      </c>
      <c r="N36" s="3">
        <v>2</v>
      </c>
      <c r="O36" s="3">
        <v>2</v>
      </c>
      <c r="P36" s="3">
        <f>SUM(Table1[[#This Row],[Residual Likelihood ]]*Table1[[#This Row],[Residual Impact]])</f>
        <v>4</v>
      </c>
      <c r="Q36" s="3" t="str">
        <f>IF(Table1[[#This Row],[Residual Risk Score]]&lt;=4,"Low",
 IF(Table1[[#This Row],[Residual Risk Score]]&lt;=8,"Medium",
 IF(Table1[[#This Row],[Residual Risk Score]]&lt;=12,"High",
 "Critical")))</f>
        <v>Low</v>
      </c>
      <c r="R36" s="3" t="s">
        <v>230</v>
      </c>
    </row>
    <row r="37" spans="1:18" ht="43.2" x14ac:dyDescent="0.3">
      <c r="A37" s="4">
        <v>36</v>
      </c>
      <c r="B37" s="3" t="s">
        <v>163</v>
      </c>
      <c r="C37" s="3" t="s">
        <v>164</v>
      </c>
      <c r="D37" s="3" t="s">
        <v>165</v>
      </c>
      <c r="E37" s="3" t="s">
        <v>265</v>
      </c>
      <c r="F37" s="1">
        <v>3</v>
      </c>
      <c r="G37" s="1">
        <v>4</v>
      </c>
      <c r="H37" s="12">
        <f>SUM(Table1[[#This Row],[Liklihood]]*Table1[[#This Row],[Impact]])</f>
        <v>12</v>
      </c>
      <c r="I37" s="12" t="str">
        <f>IF(Table1[[#This Row],[Risk Score]]&lt;=4,"Low",
 IF(Table1[[#This Row],[Risk Score]]&lt;=8,"Medium",
 IF(Table1[[#This Row],[Risk Score]]&lt;=12,"High",
 "Critical")))</f>
        <v>High</v>
      </c>
      <c r="J37" s="1" t="s">
        <v>228</v>
      </c>
      <c r="K37" s="3" t="s">
        <v>294</v>
      </c>
      <c r="L37" s="3" t="s">
        <v>166</v>
      </c>
      <c r="M37" s="3" t="s">
        <v>204</v>
      </c>
      <c r="N37" s="3">
        <v>1</v>
      </c>
      <c r="O37" s="3">
        <v>4</v>
      </c>
      <c r="P37" s="3">
        <f>SUM(Table1[[#This Row],[Residual Likelihood ]]*Table1[[#This Row],[Residual Impact]])</f>
        <v>4</v>
      </c>
      <c r="Q37" s="3" t="str">
        <f>IF(Table1[[#This Row],[Residual Risk Score]]&lt;=4,"Low",
 IF(Table1[[#This Row],[Residual Risk Score]]&lt;=8,"Medium",
 IF(Table1[[#This Row],[Residual Risk Score]]&lt;=12,"High",
 "Critical")))</f>
        <v>Low</v>
      </c>
      <c r="R37" s="3" t="s">
        <v>230</v>
      </c>
    </row>
    <row r="38" spans="1:18" ht="28.8" x14ac:dyDescent="0.3">
      <c r="A38" s="4">
        <v>37</v>
      </c>
      <c r="B38" s="3" t="s">
        <v>167</v>
      </c>
      <c r="C38" s="3" t="s">
        <v>70</v>
      </c>
      <c r="D38" s="3" t="s">
        <v>168</v>
      </c>
      <c r="E38" s="3" t="s">
        <v>266</v>
      </c>
      <c r="F38" s="1">
        <v>3</v>
      </c>
      <c r="G38" s="1">
        <v>3</v>
      </c>
      <c r="H38" s="12">
        <f>SUM(Table1[[#This Row],[Liklihood]]*Table1[[#This Row],[Impact]])</f>
        <v>9</v>
      </c>
      <c r="I38" s="12" t="str">
        <f>IF(Table1[[#This Row],[Risk Score]]&lt;=4,"Low",
 IF(Table1[[#This Row],[Risk Score]]&lt;=8,"Medium",
 IF(Table1[[#This Row],[Risk Score]]&lt;=12,"High",
 "Critical")))</f>
        <v>High</v>
      </c>
      <c r="J38" s="1" t="s">
        <v>169</v>
      </c>
      <c r="K38" s="3" t="s">
        <v>294</v>
      </c>
      <c r="L38" s="3" t="s">
        <v>170</v>
      </c>
      <c r="M38" s="3" t="s">
        <v>204</v>
      </c>
      <c r="N38" s="3">
        <v>1</v>
      </c>
      <c r="O38" s="3">
        <v>2</v>
      </c>
      <c r="P38" s="3">
        <f>SUM(Table1[[#This Row],[Residual Likelihood ]]*Table1[[#This Row],[Residual Impact]])</f>
        <v>2</v>
      </c>
      <c r="Q38" s="3" t="str">
        <f>IF(Table1[[#This Row],[Residual Risk Score]]&lt;=4,"Low",
 IF(Table1[[#This Row],[Residual Risk Score]]&lt;=8,"Medium",
 IF(Table1[[#This Row],[Residual Risk Score]]&lt;=12,"High",
 "Critical")))</f>
        <v>Low</v>
      </c>
      <c r="R38" s="3" t="s">
        <v>232</v>
      </c>
    </row>
    <row r="39" spans="1:18" ht="28.8" x14ac:dyDescent="0.3">
      <c r="A39" s="4">
        <v>38</v>
      </c>
      <c r="B39" s="3" t="s">
        <v>171</v>
      </c>
      <c r="C39" s="3" t="s">
        <v>172</v>
      </c>
      <c r="D39" s="3" t="s">
        <v>173</v>
      </c>
      <c r="E39" s="3" t="s">
        <v>236</v>
      </c>
      <c r="F39" s="1">
        <v>4</v>
      </c>
      <c r="G39" s="1">
        <v>3</v>
      </c>
      <c r="H39" s="12">
        <f>SUM(Table1[[#This Row],[Liklihood]]*Table1[[#This Row],[Impact]])</f>
        <v>12</v>
      </c>
      <c r="I39" s="12" t="str">
        <f>IF(Table1[[#This Row],[Risk Score]]&lt;=4,"Low",
 IF(Table1[[#This Row],[Risk Score]]&lt;=8,"Medium",
 IF(Table1[[#This Row],[Risk Score]]&lt;=12,"High",
 "Critical")))</f>
        <v>High</v>
      </c>
      <c r="J39" s="1" t="s">
        <v>174</v>
      </c>
      <c r="K39" s="3" t="s">
        <v>294</v>
      </c>
      <c r="L39" s="3" t="s">
        <v>175</v>
      </c>
      <c r="M39" s="3" t="s">
        <v>204</v>
      </c>
      <c r="N39" s="3">
        <v>2</v>
      </c>
      <c r="O39" s="3">
        <v>2</v>
      </c>
      <c r="P39" s="3">
        <f>SUM(Table1[[#This Row],[Residual Likelihood ]]*Table1[[#This Row],[Residual Impact]])</f>
        <v>4</v>
      </c>
      <c r="Q39" s="3" t="str">
        <f>IF(Table1[[#This Row],[Residual Risk Score]]&lt;=4,"Low",
 IF(Table1[[#This Row],[Residual Risk Score]]&lt;=8,"Medium",
 IF(Table1[[#This Row],[Residual Risk Score]]&lt;=12,"High",
 "Critical")))</f>
        <v>Low</v>
      </c>
      <c r="R39" s="3" t="s">
        <v>230</v>
      </c>
    </row>
    <row r="40" spans="1:18" ht="28.8" x14ac:dyDescent="0.3">
      <c r="A40" s="4">
        <v>39</v>
      </c>
      <c r="B40" s="3" t="s">
        <v>176</v>
      </c>
      <c r="C40" s="3" t="s">
        <v>177</v>
      </c>
      <c r="D40" s="3" t="s">
        <v>178</v>
      </c>
      <c r="E40" s="3" t="s">
        <v>275</v>
      </c>
      <c r="F40" s="1">
        <v>3</v>
      </c>
      <c r="G40" s="1">
        <v>3</v>
      </c>
      <c r="H40" s="12">
        <f>SUM(Table1[[#This Row],[Liklihood]]*Table1[[#This Row],[Impact]])</f>
        <v>9</v>
      </c>
      <c r="I40" s="12" t="str">
        <f>IF(Table1[[#This Row],[Risk Score]]&lt;=4,"Low",
 IF(Table1[[#This Row],[Risk Score]]&lt;=8,"Medium",
 IF(Table1[[#This Row],[Risk Score]]&lt;=12,"High",
 "Critical")))</f>
        <v>High</v>
      </c>
      <c r="J40" s="1" t="s">
        <v>179</v>
      </c>
      <c r="K40" s="3" t="s">
        <v>294</v>
      </c>
      <c r="L40" s="3" t="s">
        <v>180</v>
      </c>
      <c r="M40" s="3" t="s">
        <v>204</v>
      </c>
      <c r="N40" s="3">
        <v>2</v>
      </c>
      <c r="O40" s="3">
        <v>2</v>
      </c>
      <c r="P40" s="3">
        <f>SUM(Table1[[#This Row],[Residual Likelihood ]]*Table1[[#This Row],[Residual Impact]])</f>
        <v>4</v>
      </c>
      <c r="Q40" s="3" t="str">
        <f>IF(Table1[[#This Row],[Residual Risk Score]]&lt;=4,"Low",
 IF(Table1[[#This Row],[Residual Risk Score]]&lt;=8,"Medium",
 IF(Table1[[#This Row],[Residual Risk Score]]&lt;=12,"High",
 "Critical")))</f>
        <v>Low</v>
      </c>
      <c r="R40" s="3" t="s">
        <v>232</v>
      </c>
    </row>
    <row r="41" spans="1:18" ht="28.8" x14ac:dyDescent="0.3">
      <c r="A41" s="4">
        <v>40</v>
      </c>
      <c r="B41" s="3" t="s">
        <v>181</v>
      </c>
      <c r="C41" s="3" t="s">
        <v>182</v>
      </c>
      <c r="D41" s="3" t="s">
        <v>183</v>
      </c>
      <c r="E41" t="s">
        <v>259</v>
      </c>
      <c r="F41" s="1">
        <v>5</v>
      </c>
      <c r="G41" s="1">
        <v>3</v>
      </c>
      <c r="H41" s="12">
        <f>SUM(Table1[[#This Row],[Liklihood]]*Table1[[#This Row],[Impact]])</f>
        <v>15</v>
      </c>
      <c r="I41" s="12" t="str">
        <f>IF(Table1[[#This Row],[Risk Score]]&lt;=4,"Low",
 IF(Table1[[#This Row],[Risk Score]]&lt;=8,"Medium",
 IF(Table1[[#This Row],[Risk Score]]&lt;=12,"High",
 "Critical")))</f>
        <v>Critical</v>
      </c>
      <c r="J41" s="1" t="s">
        <v>52</v>
      </c>
      <c r="K41" s="3" t="s">
        <v>294</v>
      </c>
      <c r="L41" s="3" t="s">
        <v>184</v>
      </c>
      <c r="M41" s="3" t="s">
        <v>54</v>
      </c>
      <c r="N41" s="3">
        <v>2</v>
      </c>
      <c r="O41" s="3">
        <v>2</v>
      </c>
      <c r="P41" s="3">
        <f>SUM(Table1[[#This Row],[Residual Likelihood ]]*Table1[[#This Row],[Residual Impact]])</f>
        <v>4</v>
      </c>
      <c r="Q41" s="3" t="str">
        <f>IF(Table1[[#This Row],[Residual Risk Score]]&lt;=4,"Low",
 IF(Table1[[#This Row],[Residual Risk Score]]&lt;=8,"Medium",
 IF(Table1[[#This Row],[Residual Risk Score]]&lt;=12,"High",
 "Critical")))</f>
        <v>Low</v>
      </c>
      <c r="R41" s="3" t="s">
        <v>230</v>
      </c>
    </row>
    <row r="42" spans="1:18" ht="43.2" x14ac:dyDescent="0.3">
      <c r="A42" s="4">
        <v>41</v>
      </c>
      <c r="B42" s="3" t="s">
        <v>185</v>
      </c>
      <c r="C42" s="3" t="s">
        <v>20</v>
      </c>
      <c r="D42" s="3" t="s">
        <v>186</v>
      </c>
      <c r="E42" s="3" t="s">
        <v>244</v>
      </c>
      <c r="F42" s="1">
        <v>3</v>
      </c>
      <c r="G42" s="1">
        <v>4</v>
      </c>
      <c r="H42" s="12">
        <f>SUM(Table1[[#This Row],[Liklihood]]*Table1[[#This Row],[Impact]])</f>
        <v>12</v>
      </c>
      <c r="I42" s="12" t="str">
        <f>IF(Table1[[#This Row],[Risk Score]]&lt;=4,"Low",
 IF(Table1[[#This Row],[Risk Score]]&lt;=8,"Medium",
 IF(Table1[[#This Row],[Risk Score]]&lt;=12,"High",
 "Critical")))</f>
        <v>High</v>
      </c>
      <c r="J42" s="1" t="s">
        <v>228</v>
      </c>
      <c r="K42" s="3" t="s">
        <v>294</v>
      </c>
      <c r="L42" s="3" t="s">
        <v>187</v>
      </c>
      <c r="M42" s="3" t="s">
        <v>204</v>
      </c>
      <c r="N42" s="3">
        <v>2</v>
      </c>
      <c r="O42" s="3">
        <v>3</v>
      </c>
      <c r="P42" s="3">
        <f>SUM(Table1[[#This Row],[Residual Likelihood ]]*Table1[[#This Row],[Residual Impact]])</f>
        <v>6</v>
      </c>
      <c r="Q42" s="3" t="str">
        <f>IF(Table1[[#This Row],[Residual Risk Score]]&lt;=4,"Low",
 IF(Table1[[#This Row],[Residual Risk Score]]&lt;=8,"Medium",
 IF(Table1[[#This Row],[Residual Risk Score]]&lt;=12,"High",
 "Critical")))</f>
        <v>Medium</v>
      </c>
      <c r="R42" s="3" t="s">
        <v>230</v>
      </c>
    </row>
    <row r="43" spans="1:18" ht="28.8" x14ac:dyDescent="0.3">
      <c r="A43" s="4">
        <v>42</v>
      </c>
      <c r="B43" s="3" t="s">
        <v>188</v>
      </c>
      <c r="C43" s="3" t="s">
        <v>189</v>
      </c>
      <c r="D43" s="3" t="s">
        <v>297</v>
      </c>
      <c r="E43" s="3" t="s">
        <v>261</v>
      </c>
      <c r="F43" s="1">
        <v>4</v>
      </c>
      <c r="G43" s="1">
        <v>3</v>
      </c>
      <c r="H43" s="12">
        <f>SUM(Table1[[#This Row],[Liklihood]]*Table1[[#This Row],[Impact]])</f>
        <v>12</v>
      </c>
      <c r="I43" s="12" t="str">
        <f>IF(Table1[[#This Row],[Risk Score]]&lt;=4,"Low",
 IF(Table1[[#This Row],[Risk Score]]&lt;=8,"Medium",
 IF(Table1[[#This Row],[Risk Score]]&lt;=12,"High",
 "Critical")))</f>
        <v>High</v>
      </c>
      <c r="J43" s="1" t="s">
        <v>190</v>
      </c>
      <c r="K43" s="3" t="s">
        <v>295</v>
      </c>
      <c r="L43" s="3" t="s">
        <v>191</v>
      </c>
      <c r="M43" s="3" t="s">
        <v>204</v>
      </c>
      <c r="N43" s="3">
        <v>2</v>
      </c>
      <c r="O43" s="3">
        <v>2</v>
      </c>
      <c r="P43" s="3">
        <f>SUM(Table1[[#This Row],[Residual Likelihood ]]*Table1[[#This Row],[Residual Impact]])</f>
        <v>4</v>
      </c>
      <c r="Q43" s="3" t="str">
        <f>IF(Table1[[#This Row],[Residual Risk Score]]&lt;=4,"Low",
 IF(Table1[[#This Row],[Residual Risk Score]]&lt;=8,"Medium",
 IF(Table1[[#This Row],[Residual Risk Score]]&lt;=12,"High",
 "Critical")))</f>
        <v>Low</v>
      </c>
      <c r="R43" s="3" t="s">
        <v>230</v>
      </c>
    </row>
    <row r="44" spans="1:18" ht="43.2" x14ac:dyDescent="0.3">
      <c r="A44" s="4">
        <v>43</v>
      </c>
      <c r="B44" s="3" t="s">
        <v>192</v>
      </c>
      <c r="C44" s="3" t="s">
        <v>20</v>
      </c>
      <c r="D44" s="3" t="s">
        <v>193</v>
      </c>
      <c r="E44" s="3" t="s">
        <v>272</v>
      </c>
      <c r="F44" s="1">
        <v>3</v>
      </c>
      <c r="G44" s="1">
        <v>3</v>
      </c>
      <c r="H44" s="12">
        <f>SUM(Table1[[#This Row],[Liklihood]]*Table1[[#This Row],[Impact]])</f>
        <v>9</v>
      </c>
      <c r="I44" s="12" t="str">
        <f>IF(Table1[[#This Row],[Risk Score]]&lt;=4,"Low",
 IF(Table1[[#This Row],[Risk Score]]&lt;=8,"Medium",
 IF(Table1[[#This Row],[Risk Score]]&lt;=12,"High",
 "Critical")))</f>
        <v>High</v>
      </c>
      <c r="J44" s="1" t="s">
        <v>228</v>
      </c>
      <c r="K44" s="3" t="s">
        <v>294</v>
      </c>
      <c r="L44" s="3" t="s">
        <v>194</v>
      </c>
      <c r="M44" s="3" t="s">
        <v>204</v>
      </c>
      <c r="N44" s="3">
        <v>1</v>
      </c>
      <c r="O44" s="3">
        <v>2</v>
      </c>
      <c r="P44" s="3">
        <f>SUM(Table1[[#This Row],[Residual Likelihood ]]*Table1[[#This Row],[Residual Impact]])</f>
        <v>2</v>
      </c>
      <c r="Q44" s="3" t="str">
        <f>IF(Table1[[#This Row],[Residual Risk Score]]&lt;=4,"Low",
 IF(Table1[[#This Row],[Residual Risk Score]]&lt;=8,"Medium",
 IF(Table1[[#This Row],[Residual Risk Score]]&lt;=12,"High",
 "Critical")))</f>
        <v>Low</v>
      </c>
      <c r="R44" s="3" t="s">
        <v>232</v>
      </c>
    </row>
    <row r="45" spans="1:18" ht="28.8" x14ac:dyDescent="0.3">
      <c r="A45" s="4">
        <v>44</v>
      </c>
      <c r="B45" s="3" t="s">
        <v>195</v>
      </c>
      <c r="C45" s="3" t="s">
        <v>196</v>
      </c>
      <c r="D45" s="3" t="s">
        <v>197</v>
      </c>
      <c r="E45" s="3" t="s">
        <v>250</v>
      </c>
      <c r="F45" s="1">
        <v>2</v>
      </c>
      <c r="G45" s="1">
        <v>3</v>
      </c>
      <c r="H45" s="12">
        <f>SUM(Table1[[#This Row],[Liklihood]]*Table1[[#This Row],[Impact]])</f>
        <v>6</v>
      </c>
      <c r="I45" s="12" t="str">
        <f>IF(Table1[[#This Row],[Risk Score]]&lt;=4,"Low",
 IF(Table1[[#This Row],[Risk Score]]&lt;=8,"Medium",
 IF(Table1[[#This Row],[Risk Score]]&lt;=12,"High",
 "Critical")))</f>
        <v>Medium</v>
      </c>
      <c r="J45" s="1" t="s">
        <v>228</v>
      </c>
      <c r="K45" s="3" t="s">
        <v>294</v>
      </c>
      <c r="L45" s="3" t="s">
        <v>198</v>
      </c>
      <c r="M45" s="3" t="s">
        <v>204</v>
      </c>
      <c r="N45" s="3">
        <v>1</v>
      </c>
      <c r="O45" s="3">
        <v>2</v>
      </c>
      <c r="P45" s="3">
        <f>SUM(Table1[[#This Row],[Residual Likelihood ]]*Table1[[#This Row],[Residual Impact]])</f>
        <v>2</v>
      </c>
      <c r="Q45" s="3" t="str">
        <f>IF(Table1[[#This Row],[Residual Risk Score]]&lt;=4,"Low",
 IF(Table1[[#This Row],[Residual Risk Score]]&lt;=8,"Medium",
 IF(Table1[[#This Row],[Residual Risk Score]]&lt;=12,"High",
 "Critical")))</f>
        <v>Low</v>
      </c>
      <c r="R45" s="3" t="s">
        <v>232</v>
      </c>
    </row>
    <row r="46" spans="1:18" ht="28.8" x14ac:dyDescent="0.3">
      <c r="A46" s="4">
        <v>45</v>
      </c>
      <c r="B46" s="3" t="s">
        <v>199</v>
      </c>
      <c r="C46" s="3" t="s">
        <v>200</v>
      </c>
      <c r="D46" s="3" t="s">
        <v>201</v>
      </c>
      <c r="E46" s="3" t="s">
        <v>255</v>
      </c>
      <c r="F46" s="1">
        <v>3</v>
      </c>
      <c r="G46" s="1">
        <v>3</v>
      </c>
      <c r="H46" s="12">
        <f>SUM(Table1[[#This Row],[Liklihood]]*Table1[[#This Row],[Impact]])</f>
        <v>9</v>
      </c>
      <c r="I46" s="12" t="str">
        <f>IF(Table1[[#This Row],[Risk Score]]&lt;=4,"Low",
 IF(Table1[[#This Row],[Risk Score]]&lt;=8,"Medium",
 IF(Table1[[#This Row],[Risk Score]]&lt;=12,"High",
 "Critical")))</f>
        <v>High</v>
      </c>
      <c r="J46" s="1" t="s">
        <v>202</v>
      </c>
      <c r="K46" s="3" t="s">
        <v>294</v>
      </c>
      <c r="L46" s="3" t="s">
        <v>219</v>
      </c>
      <c r="M46" s="3" t="s">
        <v>204</v>
      </c>
      <c r="N46" s="3">
        <v>1</v>
      </c>
      <c r="O46" s="3">
        <v>2</v>
      </c>
      <c r="P46" s="3">
        <f>SUM(Table1[[#This Row],[Residual Likelihood ]]*Table1[[#This Row],[Residual Impact]])</f>
        <v>2</v>
      </c>
      <c r="Q46" s="3" t="str">
        <f>IF(Table1[[#This Row],[Residual Risk Score]]&lt;=4,"Low",
 IF(Table1[[#This Row],[Residual Risk Score]]&lt;=8,"Medium",
 IF(Table1[[#This Row],[Residual Risk Score]]&lt;=12,"High",
 "Critical")))</f>
        <v>Low</v>
      </c>
      <c r="R46" s="3" t="s">
        <v>232</v>
      </c>
    </row>
    <row r="47" spans="1:18" x14ac:dyDescent="0.3">
      <c r="A47" s="4">
        <v>46</v>
      </c>
      <c r="B47" s="3" t="s">
        <v>188</v>
      </c>
      <c r="C47" t="s">
        <v>213</v>
      </c>
      <c r="D47" t="s">
        <v>214</v>
      </c>
      <c r="E47" t="s">
        <v>263</v>
      </c>
      <c r="F47" s="1">
        <v>4</v>
      </c>
      <c r="G47" s="1">
        <v>3</v>
      </c>
      <c r="H47" s="12">
        <f>SUM(Table1[[#This Row],[Liklihood]]*Table1[[#This Row],[Impact]])</f>
        <v>12</v>
      </c>
      <c r="I47" s="12" t="str">
        <f>IF(Table1[[#This Row],[Risk Score]]&lt;=4,"Low",
 IF(Table1[[#This Row],[Risk Score]]&lt;=8,"Medium",
 IF(Table1[[#This Row],[Risk Score]]&lt;=12,"High",
 "Critical")))</f>
        <v>High</v>
      </c>
      <c r="J47" s="8" t="s">
        <v>228</v>
      </c>
      <c r="K47" s="3" t="s">
        <v>296</v>
      </c>
      <c r="L47" t="s">
        <v>215</v>
      </c>
      <c r="M47" s="3" t="s">
        <v>204</v>
      </c>
      <c r="N47" s="3">
        <v>2</v>
      </c>
      <c r="O47" s="3">
        <v>2</v>
      </c>
      <c r="P47" s="3">
        <f>SUM(Table1[[#This Row],[Residual Likelihood ]]*Table1[[#This Row],[Residual Impact]])</f>
        <v>4</v>
      </c>
      <c r="Q47" s="3" t="str">
        <f>IF(Table1[[#This Row],[Residual Risk Score]]&lt;=4,"Low",
 IF(Table1[[#This Row],[Residual Risk Score]]&lt;=8,"Medium",
 IF(Table1[[#This Row],[Residual Risk Score]]&lt;=12,"High",
 "Critical")))</f>
        <v>Low</v>
      </c>
      <c r="R47" s="3" t="s">
        <v>230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Q29"/>
  <sheetViews>
    <sheetView workbookViewId="0">
      <selection activeCell="P4" sqref="P4"/>
    </sheetView>
  </sheetViews>
  <sheetFormatPr defaultRowHeight="14.4" x14ac:dyDescent="0.3"/>
  <cols>
    <col min="2" max="2" width="12.5546875" customWidth="1"/>
    <col min="3" max="3" width="10.5546875" customWidth="1"/>
    <col min="4" max="4" width="8.109375" customWidth="1"/>
    <col min="5" max="5" width="6.6640625" customWidth="1"/>
    <col min="6" max="6" width="10.77734375" customWidth="1"/>
    <col min="7" max="7" width="18.88671875" bestFit="1" customWidth="1"/>
    <col min="8" max="8" width="15.6640625" bestFit="1" customWidth="1"/>
    <col min="9" max="9" width="21.6640625" customWidth="1"/>
    <col min="10" max="10" width="15.5546875" customWidth="1"/>
    <col min="11" max="11" width="4.44140625" customWidth="1"/>
    <col min="12" max="12" width="8.109375" customWidth="1"/>
    <col min="13" max="13" width="10.77734375" customWidth="1"/>
    <col min="14" max="14" width="18" bestFit="1" customWidth="1"/>
    <col min="15" max="15" width="12.21875" bestFit="1" customWidth="1"/>
    <col min="16" max="16" width="12.5546875" customWidth="1"/>
    <col min="17" max="17" width="10.5546875" customWidth="1"/>
    <col min="18" max="18" width="18.109375" bestFit="1" customWidth="1"/>
    <col min="19" max="19" width="18.5546875" bestFit="1" customWidth="1"/>
    <col min="20" max="20" width="14.6640625" bestFit="1" customWidth="1"/>
    <col min="21" max="21" width="28.33203125" bestFit="1" customWidth="1"/>
    <col min="22" max="22" width="14.88671875" bestFit="1" customWidth="1"/>
    <col min="23" max="23" width="8.109375" customWidth="1"/>
    <col min="24" max="24" width="19" bestFit="1" customWidth="1"/>
    <col min="25" max="25" width="21.5546875" bestFit="1" customWidth="1"/>
    <col min="26" max="26" width="13.109375" bestFit="1" customWidth="1"/>
    <col min="27" max="27" width="21.33203125" bestFit="1" customWidth="1"/>
    <col min="28" max="28" width="18.5546875" bestFit="1" customWidth="1"/>
    <col min="29" max="29" width="25.44140625" bestFit="1" customWidth="1"/>
    <col min="30" max="30" width="14.5546875" bestFit="1" customWidth="1"/>
    <col min="31" max="31" width="24.21875" bestFit="1" customWidth="1"/>
    <col min="32" max="32" width="11.21875" bestFit="1" customWidth="1"/>
    <col min="33" max="33" width="14.88671875" bestFit="1" customWidth="1"/>
    <col min="34" max="34" width="20.77734375" bestFit="1" customWidth="1"/>
    <col min="35" max="35" width="16.21875" bestFit="1" customWidth="1"/>
    <col min="36" max="36" width="10.44140625" bestFit="1" customWidth="1"/>
    <col min="37" max="37" width="15.88671875" bestFit="1" customWidth="1"/>
    <col min="38" max="38" width="19" bestFit="1" customWidth="1"/>
    <col min="39" max="39" width="12.6640625" bestFit="1" customWidth="1"/>
    <col min="40" max="40" width="20.77734375" bestFit="1" customWidth="1"/>
    <col min="41" max="41" width="16.33203125" bestFit="1" customWidth="1"/>
    <col min="42" max="42" width="18.33203125" bestFit="1" customWidth="1"/>
    <col min="43" max="43" width="14.77734375" bestFit="1" customWidth="1"/>
    <col min="44" max="44" width="10.77734375" bestFit="1" customWidth="1"/>
  </cols>
  <sheetData>
    <row r="4" spans="2:17" x14ac:dyDescent="0.3">
      <c r="B4" s="9" t="s">
        <v>210</v>
      </c>
      <c r="C4" t="s">
        <v>209</v>
      </c>
      <c r="P4" s="9" t="s">
        <v>210</v>
      </c>
      <c r="Q4" t="s">
        <v>209</v>
      </c>
    </row>
    <row r="5" spans="2:17" x14ac:dyDescent="0.3">
      <c r="B5" s="5" t="s">
        <v>8</v>
      </c>
      <c r="C5" s="10">
        <v>36</v>
      </c>
      <c r="P5" s="5" t="s">
        <v>8</v>
      </c>
      <c r="Q5" s="10">
        <v>1</v>
      </c>
    </row>
    <row r="6" spans="2:17" x14ac:dyDescent="0.3">
      <c r="B6" s="5" t="s">
        <v>9</v>
      </c>
      <c r="C6" s="10">
        <v>3</v>
      </c>
      <c r="P6" s="5" t="s">
        <v>12</v>
      </c>
      <c r="Q6" s="10">
        <v>26</v>
      </c>
    </row>
    <row r="7" spans="2:17" x14ac:dyDescent="0.3">
      <c r="B7" s="5" t="s">
        <v>292</v>
      </c>
      <c r="C7" s="10">
        <v>7</v>
      </c>
      <c r="P7" s="5" t="s">
        <v>9</v>
      </c>
      <c r="Q7" s="10">
        <v>19</v>
      </c>
    </row>
    <row r="8" spans="2:17" x14ac:dyDescent="0.3">
      <c r="B8" s="5" t="s">
        <v>211</v>
      </c>
      <c r="C8" s="10">
        <v>46</v>
      </c>
      <c r="P8" s="5" t="s">
        <v>211</v>
      </c>
      <c r="Q8" s="10">
        <v>46</v>
      </c>
    </row>
    <row r="11" spans="2:17" x14ac:dyDescent="0.3">
      <c r="B11" t="s">
        <v>209</v>
      </c>
    </row>
    <row r="12" spans="2:17" x14ac:dyDescent="0.3">
      <c r="B12" s="10">
        <v>46</v>
      </c>
    </row>
    <row r="17" spans="2:13" x14ac:dyDescent="0.3">
      <c r="B17" s="9" t="s">
        <v>209</v>
      </c>
      <c r="C17" s="9" t="s">
        <v>212</v>
      </c>
      <c r="I17" s="9" t="s">
        <v>293</v>
      </c>
      <c r="J17" s="9" t="s">
        <v>212</v>
      </c>
    </row>
    <row r="18" spans="2:13" x14ac:dyDescent="0.3">
      <c r="B18" s="9" t="s">
        <v>210</v>
      </c>
      <c r="C18" t="s">
        <v>8</v>
      </c>
      <c r="D18" t="s">
        <v>9</v>
      </c>
      <c r="E18" t="s">
        <v>292</v>
      </c>
      <c r="F18" t="s">
        <v>211</v>
      </c>
      <c r="I18" s="9" t="s">
        <v>210</v>
      </c>
      <c r="J18" t="s">
        <v>8</v>
      </c>
      <c r="K18" t="s">
        <v>12</v>
      </c>
      <c r="L18" t="s">
        <v>9</v>
      </c>
      <c r="M18" t="s">
        <v>211</v>
      </c>
    </row>
    <row r="19" spans="2:13" x14ac:dyDescent="0.3">
      <c r="B19" s="5" t="s">
        <v>92</v>
      </c>
      <c r="C19" s="10">
        <v>2</v>
      </c>
      <c r="D19" s="10"/>
      <c r="E19" s="10"/>
      <c r="F19" s="10">
        <v>2</v>
      </c>
      <c r="I19" s="5" t="s">
        <v>92</v>
      </c>
      <c r="J19" s="10"/>
      <c r="K19" s="10">
        <v>34</v>
      </c>
      <c r="L19" s="10">
        <v>18</v>
      </c>
      <c r="M19" s="10">
        <v>52</v>
      </c>
    </row>
    <row r="20" spans="2:13" x14ac:dyDescent="0.3">
      <c r="B20" s="5" t="s">
        <v>140</v>
      </c>
      <c r="C20" s="10">
        <v>1</v>
      </c>
      <c r="D20" s="10"/>
      <c r="E20" s="10"/>
      <c r="F20" s="10">
        <v>1</v>
      </c>
      <c r="I20" s="5" t="s">
        <v>140</v>
      </c>
      <c r="J20" s="10"/>
      <c r="K20" s="10"/>
      <c r="L20" s="10">
        <v>29</v>
      </c>
      <c r="M20" s="10">
        <v>29</v>
      </c>
    </row>
    <row r="21" spans="2:13" x14ac:dyDescent="0.3">
      <c r="B21" s="5" t="s">
        <v>203</v>
      </c>
      <c r="C21" s="10">
        <v>2</v>
      </c>
      <c r="D21" s="10">
        <v>1</v>
      </c>
      <c r="E21" s="10">
        <v>1</v>
      </c>
      <c r="F21" s="10">
        <v>4</v>
      </c>
      <c r="I21" s="5" t="s">
        <v>203</v>
      </c>
      <c r="J21" s="10"/>
      <c r="K21" s="10">
        <v>39</v>
      </c>
      <c r="L21" s="10">
        <v>16</v>
      </c>
      <c r="M21" s="10">
        <v>55</v>
      </c>
    </row>
    <row r="22" spans="2:13" x14ac:dyDescent="0.3">
      <c r="B22" s="5" t="s">
        <v>208</v>
      </c>
      <c r="C22" s="10">
        <v>1</v>
      </c>
      <c r="D22" s="10"/>
      <c r="E22" s="10"/>
      <c r="F22" s="10">
        <v>1</v>
      </c>
      <c r="I22" s="5" t="s">
        <v>208</v>
      </c>
      <c r="J22" s="10"/>
      <c r="K22" s="10"/>
      <c r="L22" s="10">
        <v>6</v>
      </c>
      <c r="M22" s="10">
        <v>6</v>
      </c>
    </row>
    <row r="23" spans="2:13" x14ac:dyDescent="0.3">
      <c r="B23" s="5" t="s">
        <v>110</v>
      </c>
      <c r="C23" s="10"/>
      <c r="D23" s="10">
        <v>1</v>
      </c>
      <c r="E23" s="10"/>
      <c r="F23" s="10">
        <v>1</v>
      </c>
      <c r="I23" s="5" t="s">
        <v>110</v>
      </c>
      <c r="J23" s="10"/>
      <c r="K23" s="10">
        <v>23</v>
      </c>
      <c r="L23" s="10"/>
      <c r="M23" s="10">
        <v>23</v>
      </c>
    </row>
    <row r="24" spans="2:13" x14ac:dyDescent="0.3">
      <c r="B24" s="5" t="s">
        <v>207</v>
      </c>
      <c r="C24" s="10">
        <v>1</v>
      </c>
      <c r="D24" s="10"/>
      <c r="E24" s="10"/>
      <c r="F24" s="10">
        <v>1</v>
      </c>
      <c r="I24" s="5" t="s">
        <v>207</v>
      </c>
      <c r="J24" s="10"/>
      <c r="K24" s="10">
        <v>22</v>
      </c>
      <c r="L24" s="10"/>
      <c r="M24" s="10">
        <v>22</v>
      </c>
    </row>
    <row r="25" spans="2:13" x14ac:dyDescent="0.3">
      <c r="B25" s="5" t="s">
        <v>204</v>
      </c>
      <c r="C25" s="10">
        <v>25</v>
      </c>
      <c r="D25" s="10">
        <v>1</v>
      </c>
      <c r="E25" s="10">
        <v>5</v>
      </c>
      <c r="F25" s="10">
        <v>31</v>
      </c>
      <c r="I25" s="5" t="s">
        <v>204</v>
      </c>
      <c r="J25" s="10">
        <v>24</v>
      </c>
      <c r="K25" s="10">
        <v>523</v>
      </c>
      <c r="L25" s="10">
        <v>241</v>
      </c>
      <c r="M25" s="10">
        <v>788</v>
      </c>
    </row>
    <row r="26" spans="2:13" x14ac:dyDescent="0.3">
      <c r="B26" s="5" t="s">
        <v>206</v>
      </c>
      <c r="C26" s="10">
        <v>1</v>
      </c>
      <c r="D26" s="10"/>
      <c r="E26" s="10"/>
      <c r="F26" s="10">
        <v>1</v>
      </c>
      <c r="I26" s="5" t="s">
        <v>206</v>
      </c>
      <c r="J26" s="10"/>
      <c r="K26" s="10">
        <v>35</v>
      </c>
      <c r="L26" s="10"/>
      <c r="M26" s="10">
        <v>35</v>
      </c>
    </row>
    <row r="27" spans="2:13" x14ac:dyDescent="0.3">
      <c r="B27" s="5" t="s">
        <v>205</v>
      </c>
      <c r="C27" s="10">
        <v>1</v>
      </c>
      <c r="D27" s="10"/>
      <c r="E27" s="10"/>
      <c r="F27" s="10">
        <v>1</v>
      </c>
      <c r="I27" s="5" t="s">
        <v>205</v>
      </c>
      <c r="J27" s="10"/>
      <c r="K27" s="10"/>
      <c r="L27" s="10">
        <v>2</v>
      </c>
      <c r="M27" s="10">
        <v>2</v>
      </c>
    </row>
    <row r="28" spans="2:13" x14ac:dyDescent="0.3">
      <c r="B28" s="5" t="s">
        <v>54</v>
      </c>
      <c r="C28" s="10">
        <v>2</v>
      </c>
      <c r="D28" s="10"/>
      <c r="E28" s="10">
        <v>1</v>
      </c>
      <c r="F28" s="10">
        <v>3</v>
      </c>
      <c r="I28" s="5" t="s">
        <v>54</v>
      </c>
      <c r="J28" s="10"/>
      <c r="K28" s="10">
        <v>61</v>
      </c>
      <c r="L28" s="10">
        <v>8</v>
      </c>
      <c r="M28" s="10">
        <v>69</v>
      </c>
    </row>
    <row r="29" spans="2:13" x14ac:dyDescent="0.3">
      <c r="B29" s="5" t="s">
        <v>211</v>
      </c>
      <c r="C29" s="10">
        <v>36</v>
      </c>
      <c r="D29" s="10">
        <v>3</v>
      </c>
      <c r="E29" s="10">
        <v>7</v>
      </c>
      <c r="F29" s="10">
        <v>46</v>
      </c>
      <c r="I29" s="5" t="s">
        <v>211</v>
      </c>
      <c r="J29" s="10">
        <v>24</v>
      </c>
      <c r="K29" s="10">
        <v>737</v>
      </c>
      <c r="L29" s="10">
        <v>320</v>
      </c>
      <c r="M29" s="10">
        <v>1081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Rigestry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2026-03-02T16:44:27Z</dcterms:modified>
</cp:coreProperties>
</file>